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lexandr.cherkashin\Documents\UpWork\Portfoilo\Gradient decent\"/>
    </mc:Choice>
  </mc:AlternateContent>
  <bookViews>
    <workbookView xWindow="0" yWindow="6510" windowWidth="28800" windowHeight="1186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7" i="1"/>
  <c r="S3" i="1" l="1"/>
  <c r="E42" i="1" l="1"/>
  <c r="J42" i="1" s="1"/>
  <c r="E43" i="1"/>
  <c r="J43" i="1" s="1"/>
  <c r="E44" i="1"/>
  <c r="J44" i="1" s="1"/>
  <c r="E45" i="1"/>
  <c r="J45" i="1" s="1"/>
  <c r="E46" i="1"/>
  <c r="J46" i="1" s="1"/>
  <c r="E47" i="1"/>
  <c r="J47" i="1" s="1"/>
  <c r="E48" i="1"/>
  <c r="J48" i="1" s="1"/>
  <c r="E49" i="1"/>
  <c r="J49" i="1" s="1"/>
  <c r="E50" i="1"/>
  <c r="J50" i="1" s="1"/>
  <c r="E51" i="1"/>
  <c r="J51" i="1" s="1"/>
  <c r="E52" i="1"/>
  <c r="J52" i="1" s="1"/>
  <c r="E53" i="1"/>
  <c r="J53" i="1" s="1"/>
  <c r="E54" i="1"/>
  <c r="J54" i="1" s="1"/>
  <c r="E55" i="1"/>
  <c r="J55" i="1" s="1"/>
  <c r="E56" i="1"/>
  <c r="J56" i="1" s="1"/>
  <c r="E57" i="1"/>
  <c r="J57" i="1" s="1"/>
  <c r="E58" i="1"/>
  <c r="J58" i="1" s="1"/>
  <c r="E59" i="1"/>
  <c r="J59" i="1" s="1"/>
  <c r="E60" i="1"/>
  <c r="J60" i="1" s="1"/>
  <c r="E61" i="1"/>
  <c r="J61" i="1" s="1"/>
  <c r="E62" i="1"/>
  <c r="J62" i="1" s="1"/>
  <c r="E63" i="1"/>
  <c r="J63" i="1" s="1"/>
  <c r="E64" i="1"/>
  <c r="J64" i="1" s="1"/>
  <c r="E65" i="1"/>
  <c r="J65" i="1" s="1"/>
  <c r="E66" i="1"/>
  <c r="J66" i="1" s="1"/>
  <c r="E67" i="1"/>
  <c r="J67" i="1" s="1"/>
  <c r="E68" i="1"/>
  <c r="J68" i="1" s="1"/>
  <c r="E69" i="1"/>
  <c r="J69" i="1" s="1"/>
  <c r="E70" i="1"/>
  <c r="J70" i="1" s="1"/>
  <c r="E71" i="1"/>
  <c r="J71" i="1" s="1"/>
  <c r="E72" i="1"/>
  <c r="J72" i="1" s="1"/>
  <c r="E73" i="1"/>
  <c r="J73" i="1" s="1"/>
  <c r="E74" i="1"/>
  <c r="J74" i="1" s="1"/>
  <c r="E75" i="1"/>
  <c r="J75" i="1" s="1"/>
  <c r="E76" i="1"/>
  <c r="J76" i="1" s="1"/>
  <c r="E77" i="1"/>
  <c r="J77" i="1" s="1"/>
  <c r="E78" i="1"/>
  <c r="J78" i="1" s="1"/>
  <c r="E79" i="1"/>
  <c r="J79" i="1" s="1"/>
  <c r="E80" i="1"/>
  <c r="J80" i="1" s="1"/>
  <c r="E81" i="1"/>
  <c r="J81" i="1" s="1"/>
  <c r="E82" i="1"/>
  <c r="J82" i="1" s="1"/>
  <c r="E83" i="1"/>
  <c r="J83" i="1" s="1"/>
  <c r="E84" i="1"/>
  <c r="J84" i="1" s="1"/>
  <c r="E85" i="1"/>
  <c r="J85" i="1" s="1"/>
  <c r="E86" i="1"/>
  <c r="J86" i="1" s="1"/>
  <c r="E87" i="1"/>
  <c r="J87" i="1" s="1"/>
  <c r="E88" i="1"/>
  <c r="J88" i="1" s="1"/>
  <c r="E89" i="1"/>
  <c r="J89" i="1" s="1"/>
  <c r="E90" i="1"/>
  <c r="J90" i="1" s="1"/>
  <c r="E91" i="1"/>
  <c r="J91" i="1" s="1"/>
  <c r="E92" i="1"/>
  <c r="J92" i="1" s="1"/>
  <c r="E93" i="1"/>
  <c r="J93" i="1" s="1"/>
  <c r="E94" i="1"/>
  <c r="J94" i="1" s="1"/>
  <c r="E95" i="1"/>
  <c r="J95" i="1" s="1"/>
  <c r="E96" i="1"/>
  <c r="J96" i="1" s="1"/>
  <c r="E97" i="1"/>
  <c r="J97" i="1" s="1"/>
  <c r="E98" i="1"/>
  <c r="J98" i="1" s="1"/>
  <c r="E99" i="1"/>
  <c r="J99" i="1" s="1"/>
  <c r="E100" i="1"/>
  <c r="J100" i="1" s="1"/>
  <c r="E101" i="1"/>
  <c r="J101" i="1" s="1"/>
  <c r="E102" i="1"/>
  <c r="J102" i="1" s="1"/>
  <c r="E103" i="1"/>
  <c r="J103" i="1" s="1"/>
  <c r="E104" i="1"/>
  <c r="J104" i="1" s="1"/>
  <c r="E105" i="1"/>
  <c r="J105" i="1" s="1"/>
  <c r="E106" i="1"/>
  <c r="J106" i="1" s="1"/>
  <c r="E107" i="1"/>
  <c r="J107" i="1" s="1"/>
  <c r="E108" i="1"/>
  <c r="J108" i="1" s="1"/>
  <c r="E109" i="1"/>
  <c r="J109" i="1" s="1"/>
  <c r="E110" i="1"/>
  <c r="J110" i="1" s="1"/>
  <c r="E111" i="1"/>
  <c r="J111" i="1" s="1"/>
  <c r="G101" i="1" l="1"/>
  <c r="G89" i="1"/>
  <c r="G69" i="1"/>
  <c r="G45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105" i="1"/>
  <c r="G97" i="1"/>
  <c r="G85" i="1"/>
  <c r="G77" i="1"/>
  <c r="G65" i="1"/>
  <c r="G57" i="1"/>
  <c r="G49" i="1"/>
  <c r="G103" i="1"/>
  <c r="G91" i="1"/>
  <c r="G79" i="1"/>
  <c r="G71" i="1"/>
  <c r="G67" i="1"/>
  <c r="G63" i="1"/>
  <c r="G59" i="1"/>
  <c r="G55" i="1"/>
  <c r="G51" i="1"/>
  <c r="G47" i="1"/>
  <c r="G43" i="1"/>
  <c r="G109" i="1"/>
  <c r="G93" i="1"/>
  <c r="G81" i="1"/>
  <c r="G73" i="1"/>
  <c r="G61" i="1"/>
  <c r="G53" i="1"/>
  <c r="G111" i="1"/>
  <c r="G107" i="1"/>
  <c r="G99" i="1"/>
  <c r="G95" i="1"/>
  <c r="G87" i="1"/>
  <c r="G83" i="1"/>
  <c r="G75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E15" i="1" l="1"/>
  <c r="J15" i="1" s="1"/>
  <c r="E7" i="1"/>
  <c r="J7" i="1" s="1"/>
  <c r="E9" i="1"/>
  <c r="J9" i="1" s="1"/>
  <c r="E18" i="1"/>
  <c r="J18" i="1" s="1"/>
  <c r="E34" i="1"/>
  <c r="J34" i="1" s="1"/>
  <c r="E10" i="1"/>
  <c r="J10" i="1" s="1"/>
  <c r="E30" i="1"/>
  <c r="J30" i="1" s="1"/>
  <c r="E14" i="1"/>
  <c r="J14" i="1" s="1"/>
  <c r="E26" i="1"/>
  <c r="J26" i="1" s="1"/>
  <c r="E11" i="1"/>
  <c r="J11" i="1" s="1"/>
  <c r="E19" i="1"/>
  <c r="J19" i="1" s="1"/>
  <c r="E31" i="1"/>
  <c r="J31" i="1" s="1"/>
  <c r="E12" i="1"/>
  <c r="J12" i="1" s="1"/>
  <c r="E16" i="1"/>
  <c r="J16" i="1" s="1"/>
  <c r="E20" i="1"/>
  <c r="J20" i="1" s="1"/>
  <c r="E24" i="1"/>
  <c r="J24" i="1" s="1"/>
  <c r="E28" i="1"/>
  <c r="J28" i="1" s="1"/>
  <c r="E32" i="1"/>
  <c r="J32" i="1" s="1"/>
  <c r="E36" i="1"/>
  <c r="J36" i="1" s="1"/>
  <c r="E40" i="1"/>
  <c r="J40" i="1" s="1"/>
  <c r="E23" i="1"/>
  <c r="J23" i="1" s="1"/>
  <c r="E39" i="1"/>
  <c r="J39" i="1" s="1"/>
  <c r="E8" i="1"/>
  <c r="J8" i="1" s="1"/>
  <c r="E13" i="1"/>
  <c r="J13" i="1" s="1"/>
  <c r="E17" i="1"/>
  <c r="J17" i="1" s="1"/>
  <c r="E21" i="1"/>
  <c r="J21" i="1" s="1"/>
  <c r="E25" i="1"/>
  <c r="J25" i="1" s="1"/>
  <c r="E29" i="1"/>
  <c r="J29" i="1" s="1"/>
  <c r="E33" i="1"/>
  <c r="J33" i="1" s="1"/>
  <c r="E37" i="1"/>
  <c r="J37" i="1" s="1"/>
  <c r="E41" i="1"/>
  <c r="J41" i="1" s="1"/>
  <c r="E27" i="1"/>
  <c r="J27" i="1" s="1"/>
  <c r="E35" i="1"/>
  <c r="J35" i="1" s="1"/>
  <c r="E22" i="1"/>
  <c r="J22" i="1" s="1"/>
  <c r="E38" i="1"/>
  <c r="J38" i="1" s="1"/>
  <c r="J6" i="1" l="1"/>
  <c r="G21" i="1"/>
  <c r="G11" i="1"/>
  <c r="G27" i="1"/>
  <c r="G29" i="1"/>
  <c r="G13" i="1"/>
  <c r="G40" i="1"/>
  <c r="G24" i="1"/>
  <c r="G31" i="1"/>
  <c r="G14" i="1"/>
  <c r="G18" i="1"/>
  <c r="G22" i="1"/>
  <c r="G32" i="1"/>
  <c r="G38" i="1"/>
  <c r="G41" i="1"/>
  <c r="G25" i="1"/>
  <c r="G8" i="1"/>
  <c r="G36" i="1"/>
  <c r="G20" i="1"/>
  <c r="G19" i="1"/>
  <c r="G30" i="1"/>
  <c r="G9" i="1"/>
  <c r="G37" i="1"/>
  <c r="G39" i="1"/>
  <c r="G16" i="1"/>
  <c r="G10" i="1"/>
  <c r="G7" i="1"/>
  <c r="G35" i="1"/>
  <c r="G33" i="1"/>
  <c r="G17" i="1"/>
  <c r="G23" i="1"/>
  <c r="G28" i="1"/>
  <c r="G12" i="1"/>
  <c r="G26" i="1"/>
  <c r="G34" i="1"/>
  <c r="G15" i="1"/>
  <c r="K6" i="1"/>
  <c r="G6" i="1" l="1"/>
  <c r="H6" i="1"/>
</calcChain>
</file>

<file path=xl/sharedStrings.xml><?xml version="1.0" encoding="utf-8"?>
<sst xmlns="http://schemas.openxmlformats.org/spreadsheetml/2006/main" count="23" uniqueCount="20">
  <si>
    <t>X</t>
  </si>
  <si>
    <t>Y</t>
  </si>
  <si>
    <t>z=</t>
  </si>
  <si>
    <t>=</t>
  </si>
  <si>
    <t>X ^</t>
  </si>
  <si>
    <t>loss function</t>
  </si>
  <si>
    <t>partial derivative</t>
  </si>
  <si>
    <t>lasso variant</t>
  </si>
  <si>
    <t>J = log(y/x^z)^2</t>
  </si>
  <si>
    <t>dj/dz = -2log(x)*log(y*x^-z)</t>
  </si>
  <si>
    <t>Y' = x^z</t>
  </si>
  <si>
    <t>Model</t>
  </si>
  <si>
    <t>Truth</t>
  </si>
  <si>
    <t>Data</t>
  </si>
  <si>
    <t xml:space="preserve">learning rate = </t>
  </si>
  <si>
    <t>J = log(y/x^z)^2+z</t>
  </si>
  <si>
    <t>dj/dz = 1 - 2log(x)*log(y*x^-z)</t>
  </si>
  <si>
    <t>True z: 2+</t>
  </si>
  <si>
    <r>
      <t xml:space="preserve">Here we have some data: </t>
    </r>
    <r>
      <rPr>
        <b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  <charset val="204"/>
        <scheme val="minor"/>
      </rPr>
      <t xml:space="preserve"> and a dependent variable </t>
    </r>
    <r>
      <rPr>
        <b/>
        <sz val="11"/>
        <color theme="1"/>
        <rFont val="Calibri"/>
        <family val="2"/>
        <charset val="204"/>
        <scheme val="minor"/>
      </rPr>
      <t>Y</t>
    </r>
    <r>
      <rPr>
        <sz val="11"/>
        <color theme="1"/>
        <rFont val="Calibri"/>
        <family val="2"/>
        <charset val="204"/>
        <scheme val="minor"/>
      </rPr>
      <t xml:space="preserve">. 
The real Y was generated with a function: </t>
    </r>
    <r>
      <rPr>
        <b/>
        <sz val="11"/>
        <color theme="1"/>
        <rFont val="Calibri"/>
        <family val="2"/>
        <charset val="204"/>
        <scheme val="minor"/>
      </rPr>
      <t>Y =  X^2 + random positive noise</t>
    </r>
    <r>
      <rPr>
        <sz val="11"/>
        <color theme="1"/>
        <rFont val="Calibri"/>
        <family val="2"/>
        <charset val="204"/>
        <scheme val="minor"/>
      </rPr>
      <t xml:space="preserve">. But assume we don't know this.
Looking at the data we think that exponential model: </t>
    </r>
    <r>
      <rPr>
        <b/>
        <sz val="11"/>
        <color theme="1"/>
        <rFont val="Calibri"/>
        <family val="2"/>
        <charset val="204"/>
        <scheme val="minor"/>
      </rPr>
      <t>Y' = X^Z</t>
    </r>
    <r>
      <rPr>
        <sz val="11"/>
        <color theme="1"/>
        <rFont val="Calibri"/>
        <family val="2"/>
        <charset val="204"/>
        <scheme val="minor"/>
      </rPr>
      <t xml:space="preserve"> could be a good way to explain the data. But we don't know this </t>
    </r>
    <r>
      <rPr>
        <b/>
        <sz val="11"/>
        <color theme="1"/>
        <rFont val="Calibri"/>
        <family val="2"/>
        <charset val="204"/>
        <scheme val="minor"/>
      </rPr>
      <t xml:space="preserve">Z.
</t>
    </r>
    <r>
      <rPr>
        <sz val="11"/>
        <color theme="1"/>
        <rFont val="Calibri"/>
        <family val="2"/>
        <charset val="204"/>
        <scheme val="minor"/>
      </rPr>
      <t xml:space="preserve">
What we can do is to define some Loss Function wich will tell us how our modelled value (</t>
    </r>
    <r>
      <rPr>
        <b/>
        <sz val="11"/>
        <color theme="1"/>
        <rFont val="Calibri"/>
        <family val="2"/>
        <charset val="204"/>
        <scheme val="minor"/>
      </rPr>
      <t>Y'</t>
    </r>
    <r>
      <rPr>
        <sz val="11"/>
        <color theme="1"/>
        <rFont val="Calibri"/>
        <family val="2"/>
        <charset val="204"/>
        <scheme val="minor"/>
      </rPr>
      <t xml:space="preserve">) is far from real </t>
    </r>
    <r>
      <rPr>
        <b/>
        <sz val="11"/>
        <color theme="1"/>
        <rFont val="Calibri"/>
        <family val="2"/>
        <charset val="204"/>
        <scheme val="minor"/>
      </rPr>
      <t>Y</t>
    </r>
    <r>
      <rPr>
        <sz val="11"/>
        <color theme="1"/>
        <rFont val="Calibri"/>
        <family val="2"/>
        <charset val="204"/>
        <scheme val="minor"/>
      </rPr>
      <t xml:space="preserve">. It's like some distance from </t>
    </r>
    <r>
      <rPr>
        <b/>
        <sz val="11"/>
        <color theme="1"/>
        <rFont val="Calibri"/>
        <family val="2"/>
        <charset val="204"/>
        <scheme val="minor"/>
      </rPr>
      <t>Y'</t>
    </r>
    <r>
      <rPr>
        <sz val="11"/>
        <color theme="1"/>
        <rFont val="Calibri"/>
        <family val="2"/>
        <charset val="204"/>
        <scheme val="minor"/>
      </rPr>
      <t xml:space="preserve"> To </t>
    </r>
    <r>
      <rPr>
        <b/>
        <sz val="11"/>
        <color theme="1"/>
        <rFont val="Calibri"/>
        <family val="2"/>
        <charset val="204"/>
        <scheme val="minor"/>
      </rPr>
      <t>Y</t>
    </r>
    <r>
      <rPr>
        <sz val="11"/>
        <color theme="1"/>
        <rFont val="Calibri"/>
        <family val="2"/>
        <charset val="204"/>
        <scheme val="minor"/>
      </rPr>
      <t xml:space="preserve">. If it is small then our model is good. 
Using gradient decent we can find a value of </t>
    </r>
    <r>
      <rPr>
        <b/>
        <sz val="11"/>
        <color theme="1"/>
        <rFont val="Calibri"/>
        <family val="2"/>
        <charset val="204"/>
        <scheme val="minor"/>
      </rPr>
      <t>Z</t>
    </r>
    <r>
      <rPr>
        <sz val="11"/>
        <color theme="1"/>
        <rFont val="Calibri"/>
        <family val="2"/>
        <charset val="204"/>
        <scheme val="minor"/>
      </rPr>
      <t xml:space="preserve"> that will minimize this dictance.
We set initial </t>
    </r>
    <r>
      <rPr>
        <b/>
        <sz val="11"/>
        <color theme="1"/>
        <rFont val="Calibri"/>
        <family val="2"/>
        <charset val="204"/>
        <scheme val="minor"/>
      </rPr>
      <t>Z</t>
    </r>
    <r>
      <rPr>
        <sz val="11"/>
        <color theme="1"/>
        <rFont val="Calibri"/>
        <family val="2"/>
        <charset val="204"/>
        <scheme val="minor"/>
      </rPr>
      <t xml:space="preserve"> to 0 in cell </t>
    </r>
    <r>
      <rPr>
        <b/>
        <sz val="11"/>
        <color theme="1"/>
        <rFont val="Calibri"/>
        <family val="2"/>
        <charset val="204"/>
        <scheme val="minor"/>
      </rPr>
      <t>E6</t>
    </r>
    <r>
      <rPr>
        <sz val="11"/>
        <color theme="1"/>
        <rFont val="Calibri"/>
        <family val="2"/>
        <charset val="204"/>
        <scheme val="minor"/>
      </rPr>
      <t xml:space="preserve">. When you hit Train button gradient decent optimization starts for  200 steps, each step bringing </t>
    </r>
    <r>
      <rPr>
        <b/>
        <sz val="11"/>
        <color theme="1"/>
        <rFont val="Calibri"/>
        <family val="2"/>
        <charset val="204"/>
        <scheme val="minor"/>
      </rPr>
      <t>Z</t>
    </r>
    <r>
      <rPr>
        <sz val="11"/>
        <color theme="1"/>
        <rFont val="Calibri"/>
        <family val="2"/>
        <charset val="204"/>
        <scheme val="minor"/>
      </rPr>
      <t xml:space="preserve"> to the desired optimal value. You can see this process at the chart to the left.</t>
    </r>
  </si>
  <si>
    <t>model: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</si>
</sst>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\ _₽_-;\-* #,##0.00\ _₽_-;_-* &quot;-&quot;??\ _₽_-;_-@_-"/>
    <numFmt numFmtId="164" formatCode="_-* #,##0\ _₽_-;\-* #,##0\ _₽_-;_-* &quot;-&quot;??\ _₽_-;_-@_-"/>
  </numFmts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0" fontId="3" fillId="0" borderId="1" xfId="0" applyFont="1" applyBorder="1"/>
    <xf numFmtId="164" fontId="3" fillId="0" borderId="1" xfId="1" applyNumberFormat="1" applyFont="1" applyBorder="1"/>
    <xf numFmtId="0" fontId="3" fillId="0" borderId="2" xfId="0" applyFont="1" applyBorder="1" applyAlignment="1">
      <alignment horizontal="right"/>
    </xf>
    <xf numFmtId="0" fontId="3" fillId="0" borderId="3" xfId="0" applyFont="1" applyBorder="1"/>
    <xf numFmtId="0" fontId="4" fillId="0" borderId="1" xfId="0" applyFont="1" applyBorder="1" applyAlignment="1">
      <alignment horizontal="right"/>
    </xf>
    <xf numFmtId="0" fontId="4" fillId="0" borderId="1" xfId="0" applyFont="1" applyBorder="1" applyAlignment="1">
      <alignment horizontal="left"/>
    </xf>
    <xf numFmtId="0" fontId="0" fillId="0" borderId="1" xfId="0" applyBorder="1"/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4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0" fillId="0" borderId="9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0" xfId="0" applyFont="1" applyBorder="1" applyAlignment="1">
      <alignment horizontal="left" vertical="top"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fitting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Actual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Sheet1!$B$7:$B$111</c:f>
              <c:numCache>
                <c:formatCode>General</c:formatCode>
                <c:ptCount val="1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1</c:v>
                </c:pt>
                <c:pt idx="36">
                  <c:v>2</c:v>
                </c:pt>
                <c:pt idx="37">
                  <c:v>3</c:v>
                </c:pt>
                <c:pt idx="38">
                  <c:v>4</c:v>
                </c:pt>
                <c:pt idx="39">
                  <c:v>5</c:v>
                </c:pt>
                <c:pt idx="40">
                  <c:v>6</c:v>
                </c:pt>
                <c:pt idx="41">
                  <c:v>7</c:v>
                </c:pt>
                <c:pt idx="42">
                  <c:v>8</c:v>
                </c:pt>
                <c:pt idx="43">
                  <c:v>9</c:v>
                </c:pt>
                <c:pt idx="44">
                  <c:v>10</c:v>
                </c:pt>
                <c:pt idx="45">
                  <c:v>11</c:v>
                </c:pt>
                <c:pt idx="46">
                  <c:v>12</c:v>
                </c:pt>
                <c:pt idx="47">
                  <c:v>13</c:v>
                </c:pt>
                <c:pt idx="48">
                  <c:v>14</c:v>
                </c:pt>
                <c:pt idx="49">
                  <c:v>15</c:v>
                </c:pt>
                <c:pt idx="50">
                  <c:v>16</c:v>
                </c:pt>
                <c:pt idx="51">
                  <c:v>17</c:v>
                </c:pt>
                <c:pt idx="52">
                  <c:v>18</c:v>
                </c:pt>
                <c:pt idx="53">
                  <c:v>19</c:v>
                </c:pt>
                <c:pt idx="54">
                  <c:v>20</c:v>
                </c:pt>
                <c:pt idx="55">
                  <c:v>21</c:v>
                </c:pt>
                <c:pt idx="56">
                  <c:v>22</c:v>
                </c:pt>
                <c:pt idx="57">
                  <c:v>23</c:v>
                </c:pt>
                <c:pt idx="58">
                  <c:v>24</c:v>
                </c:pt>
                <c:pt idx="59">
                  <c:v>25</c:v>
                </c:pt>
                <c:pt idx="60">
                  <c:v>26</c:v>
                </c:pt>
                <c:pt idx="61">
                  <c:v>27</c:v>
                </c:pt>
                <c:pt idx="62">
                  <c:v>28</c:v>
                </c:pt>
                <c:pt idx="63">
                  <c:v>29</c:v>
                </c:pt>
                <c:pt idx="64">
                  <c:v>30</c:v>
                </c:pt>
                <c:pt idx="65">
                  <c:v>31</c:v>
                </c:pt>
                <c:pt idx="66">
                  <c:v>32</c:v>
                </c:pt>
                <c:pt idx="67">
                  <c:v>33</c:v>
                </c:pt>
                <c:pt idx="68">
                  <c:v>34</c:v>
                </c:pt>
                <c:pt idx="69">
                  <c:v>35</c:v>
                </c:pt>
                <c:pt idx="70">
                  <c:v>1</c:v>
                </c:pt>
                <c:pt idx="71">
                  <c:v>2</c:v>
                </c:pt>
                <c:pt idx="72">
                  <c:v>3</c:v>
                </c:pt>
                <c:pt idx="73">
                  <c:v>4</c:v>
                </c:pt>
                <c:pt idx="74">
                  <c:v>5</c:v>
                </c:pt>
                <c:pt idx="75">
                  <c:v>6</c:v>
                </c:pt>
                <c:pt idx="76">
                  <c:v>7</c:v>
                </c:pt>
                <c:pt idx="77">
                  <c:v>8</c:v>
                </c:pt>
                <c:pt idx="78">
                  <c:v>9</c:v>
                </c:pt>
                <c:pt idx="79">
                  <c:v>10</c:v>
                </c:pt>
                <c:pt idx="80">
                  <c:v>11</c:v>
                </c:pt>
                <c:pt idx="81">
                  <c:v>12</c:v>
                </c:pt>
                <c:pt idx="82">
                  <c:v>13</c:v>
                </c:pt>
                <c:pt idx="83">
                  <c:v>14</c:v>
                </c:pt>
                <c:pt idx="84">
                  <c:v>15</c:v>
                </c:pt>
                <c:pt idx="85">
                  <c:v>16</c:v>
                </c:pt>
                <c:pt idx="86">
                  <c:v>17</c:v>
                </c:pt>
                <c:pt idx="87">
                  <c:v>18</c:v>
                </c:pt>
                <c:pt idx="88">
                  <c:v>19</c:v>
                </c:pt>
                <c:pt idx="89">
                  <c:v>20</c:v>
                </c:pt>
                <c:pt idx="90">
                  <c:v>21</c:v>
                </c:pt>
                <c:pt idx="91">
                  <c:v>22</c:v>
                </c:pt>
                <c:pt idx="92">
                  <c:v>23</c:v>
                </c:pt>
                <c:pt idx="93">
                  <c:v>24</c:v>
                </c:pt>
                <c:pt idx="94">
                  <c:v>25</c:v>
                </c:pt>
                <c:pt idx="95">
                  <c:v>26</c:v>
                </c:pt>
                <c:pt idx="96">
                  <c:v>27</c:v>
                </c:pt>
                <c:pt idx="97">
                  <c:v>28</c:v>
                </c:pt>
                <c:pt idx="98">
                  <c:v>29</c:v>
                </c:pt>
                <c:pt idx="99">
                  <c:v>30</c:v>
                </c:pt>
                <c:pt idx="100">
                  <c:v>31</c:v>
                </c:pt>
                <c:pt idx="101">
                  <c:v>32</c:v>
                </c:pt>
                <c:pt idx="102">
                  <c:v>33</c:v>
                </c:pt>
                <c:pt idx="103">
                  <c:v>34</c:v>
                </c:pt>
                <c:pt idx="104">
                  <c:v>35</c:v>
                </c:pt>
              </c:numCache>
            </c:numRef>
          </c:xVal>
          <c:yVal>
            <c:numRef>
              <c:f>Sheet1!$C$7:$C$111</c:f>
              <c:numCache>
                <c:formatCode>General</c:formatCode>
                <c:ptCount val="105"/>
                <c:pt idx="0">
                  <c:v>1.4872404422974674</c:v>
                </c:pt>
                <c:pt idx="1">
                  <c:v>6.6292969818558714</c:v>
                </c:pt>
                <c:pt idx="2">
                  <c:v>10.225000070273918</c:v>
                </c:pt>
                <c:pt idx="3">
                  <c:v>27.584229428899512</c:v>
                </c:pt>
                <c:pt idx="4">
                  <c:v>26.972962289327999</c:v>
                </c:pt>
                <c:pt idx="5">
                  <c:v>58.473652332918995</c:v>
                </c:pt>
                <c:pt idx="6">
                  <c:v>49.390822133873847</c:v>
                </c:pt>
                <c:pt idx="7">
                  <c:v>118.52231719092957</c:v>
                </c:pt>
                <c:pt idx="8">
                  <c:v>81.049229470953989</c:v>
                </c:pt>
                <c:pt idx="9">
                  <c:v>150.6067056083152</c:v>
                </c:pt>
                <c:pt idx="10">
                  <c:v>151.84554482637455</c:v>
                </c:pt>
                <c:pt idx="11">
                  <c:v>160.12953638730932</c:v>
                </c:pt>
                <c:pt idx="12">
                  <c:v>279.44192459758278</c:v>
                </c:pt>
                <c:pt idx="13">
                  <c:v>287.55890942612524</c:v>
                </c:pt>
                <c:pt idx="14">
                  <c:v>434.66069570404716</c:v>
                </c:pt>
                <c:pt idx="15">
                  <c:v>484.07877006701381</c:v>
                </c:pt>
                <c:pt idx="16">
                  <c:v>422.24366575471765</c:v>
                </c:pt>
                <c:pt idx="17">
                  <c:v>418.80951390204592</c:v>
                </c:pt>
                <c:pt idx="18">
                  <c:v>614.06223506555489</c:v>
                </c:pt>
                <c:pt idx="19">
                  <c:v>467.50625637304074</c:v>
                </c:pt>
                <c:pt idx="20">
                  <c:v>628.41109162688713</c:v>
                </c:pt>
                <c:pt idx="21">
                  <c:v>505.94394577539384</c:v>
                </c:pt>
                <c:pt idx="22">
                  <c:v>729.74447995058779</c:v>
                </c:pt>
                <c:pt idx="23">
                  <c:v>1109.6082702163174</c:v>
                </c:pt>
                <c:pt idx="24">
                  <c:v>1138.8052767366858</c:v>
                </c:pt>
                <c:pt idx="25">
                  <c:v>1332.314073826501</c:v>
                </c:pt>
                <c:pt idx="26">
                  <c:v>1195.9924191374125</c:v>
                </c:pt>
                <c:pt idx="27">
                  <c:v>1087.3515625545392</c:v>
                </c:pt>
                <c:pt idx="28">
                  <c:v>1008.0539410030069</c:v>
                </c:pt>
                <c:pt idx="29">
                  <c:v>1080.522456845187</c:v>
                </c:pt>
                <c:pt idx="30">
                  <c:v>1497.4259845565603</c:v>
                </c:pt>
                <c:pt idx="31">
                  <c:v>1114.846163754491</c:v>
                </c:pt>
                <c:pt idx="32">
                  <c:v>1770.8589194016758</c:v>
                </c:pt>
                <c:pt idx="33">
                  <c:v>1575.9996354280493</c:v>
                </c:pt>
                <c:pt idx="34">
                  <c:v>1780.9348279044366</c:v>
                </c:pt>
                <c:pt idx="35">
                  <c:v>1.777484715462573</c:v>
                </c:pt>
                <c:pt idx="36">
                  <c:v>5.2166550180611111</c:v>
                </c:pt>
                <c:pt idx="37">
                  <c:v>13.278123835673719</c:v>
                </c:pt>
                <c:pt idx="38">
                  <c:v>28.109353570588752</c:v>
                </c:pt>
                <c:pt idx="39">
                  <c:v>27.713507467234248</c:v>
                </c:pt>
                <c:pt idx="40">
                  <c:v>70.767284282278666</c:v>
                </c:pt>
                <c:pt idx="41">
                  <c:v>59.42361082235081</c:v>
                </c:pt>
                <c:pt idx="42">
                  <c:v>99.276699167779284</c:v>
                </c:pt>
                <c:pt idx="43">
                  <c:v>123.48455441420185</c:v>
                </c:pt>
                <c:pt idx="44">
                  <c:v>179.59524734515281</c:v>
                </c:pt>
                <c:pt idx="45">
                  <c:v>150.07760626222006</c:v>
                </c:pt>
                <c:pt idx="46">
                  <c:v>270.42009693741551</c:v>
                </c:pt>
                <c:pt idx="47">
                  <c:v>337.14023628264891</c:v>
                </c:pt>
                <c:pt idx="48">
                  <c:v>380.9052823603871</c:v>
                </c:pt>
                <c:pt idx="49">
                  <c:v>250.4784588003277</c:v>
                </c:pt>
                <c:pt idx="50">
                  <c:v>485.33332046909061</c:v>
                </c:pt>
                <c:pt idx="51">
                  <c:v>307.74957613069904</c:v>
                </c:pt>
                <c:pt idx="52">
                  <c:v>438.79101320622487</c:v>
                </c:pt>
                <c:pt idx="53">
                  <c:v>438.9687441904432</c:v>
                </c:pt>
                <c:pt idx="54">
                  <c:v>551.60457418857743</c:v>
                </c:pt>
                <c:pt idx="55">
                  <c:v>535.74736732322185</c:v>
                </c:pt>
                <c:pt idx="56">
                  <c:v>490.93923388255433</c:v>
                </c:pt>
                <c:pt idx="57">
                  <c:v>940.79282743007252</c:v>
                </c:pt>
                <c:pt idx="58">
                  <c:v>847.97566512206549</c:v>
                </c:pt>
                <c:pt idx="59">
                  <c:v>632.75076535603353</c:v>
                </c:pt>
                <c:pt idx="60">
                  <c:v>1069.9753905411403</c:v>
                </c:pt>
                <c:pt idx="61">
                  <c:v>1315.4975918572254</c:v>
                </c:pt>
                <c:pt idx="62">
                  <c:v>1177.1238587732796</c:v>
                </c:pt>
                <c:pt idx="63">
                  <c:v>1676.7136354553536</c:v>
                </c:pt>
                <c:pt idx="64">
                  <c:v>1722.2537880500777</c:v>
                </c:pt>
                <c:pt idx="65">
                  <c:v>980.37017731604021</c:v>
                </c:pt>
                <c:pt idx="66">
                  <c:v>1087.3999512319501</c:v>
                </c:pt>
                <c:pt idx="67">
                  <c:v>1501.241853396454</c:v>
                </c:pt>
                <c:pt idx="68">
                  <c:v>1383.0313503929806</c:v>
                </c:pt>
                <c:pt idx="69">
                  <c:v>1676.8793707556958</c:v>
                </c:pt>
                <c:pt idx="70">
                  <c:v>1.6977320646150877</c:v>
                </c:pt>
                <c:pt idx="71">
                  <c:v>7.0901144168447381</c:v>
                </c:pt>
                <c:pt idx="72">
                  <c:v>15.600436201800331</c:v>
                </c:pt>
                <c:pt idx="73">
                  <c:v>20.851670511443093</c:v>
                </c:pt>
                <c:pt idx="74">
                  <c:v>41.455269520775914</c:v>
                </c:pt>
                <c:pt idx="75">
                  <c:v>71.602683091074255</c:v>
                </c:pt>
                <c:pt idx="76">
                  <c:v>58.595690724644548</c:v>
                </c:pt>
                <c:pt idx="77">
                  <c:v>71.198721100426951</c:v>
                </c:pt>
                <c:pt idx="78">
                  <c:v>158.95902597827188</c:v>
                </c:pt>
                <c:pt idx="79">
                  <c:v>193.59184082043197</c:v>
                </c:pt>
                <c:pt idx="80">
                  <c:v>154.96175478243669</c:v>
                </c:pt>
                <c:pt idx="81">
                  <c:v>194.44407268383173</c:v>
                </c:pt>
                <c:pt idx="82">
                  <c:v>279.84415425009371</c:v>
                </c:pt>
                <c:pt idx="83">
                  <c:v>286.43151214772507</c:v>
                </c:pt>
                <c:pt idx="84">
                  <c:v>322.30092119391674</c:v>
                </c:pt>
                <c:pt idx="85">
                  <c:v>420.9713535778568</c:v>
                </c:pt>
                <c:pt idx="86">
                  <c:v>473.70143963907844</c:v>
                </c:pt>
                <c:pt idx="87">
                  <c:v>523.40818179948997</c:v>
                </c:pt>
                <c:pt idx="88">
                  <c:v>612.61413549461588</c:v>
                </c:pt>
                <c:pt idx="89">
                  <c:v>726.79702679485717</c:v>
                </c:pt>
                <c:pt idx="90">
                  <c:v>668.95499091395322</c:v>
                </c:pt>
                <c:pt idx="91">
                  <c:v>549.57706215423752</c:v>
                </c:pt>
                <c:pt idx="92">
                  <c:v>1039.3142196321498</c:v>
                </c:pt>
                <c:pt idx="93">
                  <c:v>578.47415784335124</c:v>
                </c:pt>
                <c:pt idx="94">
                  <c:v>782.0033280863704</c:v>
                </c:pt>
                <c:pt idx="95">
                  <c:v>1096.6263649428897</c:v>
                </c:pt>
                <c:pt idx="96">
                  <c:v>975.73415302597459</c:v>
                </c:pt>
                <c:pt idx="97">
                  <c:v>1034.3270509944464</c:v>
                </c:pt>
                <c:pt idx="98">
                  <c:v>1345.4056160867328</c:v>
                </c:pt>
                <c:pt idx="99">
                  <c:v>1147.4499653279211</c:v>
                </c:pt>
                <c:pt idx="100">
                  <c:v>1324.8480907587225</c:v>
                </c:pt>
                <c:pt idx="101">
                  <c:v>1185.6367355605507</c:v>
                </c:pt>
                <c:pt idx="102">
                  <c:v>1481.5610281605091</c:v>
                </c:pt>
                <c:pt idx="103">
                  <c:v>1341.2191546635313</c:v>
                </c:pt>
                <c:pt idx="104">
                  <c:v>1872.1890693701257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7D-4026-BC5A-89259A363DFC}"/>
            </c:ext>
          </c:extLst>
        </c:ser>
        <c:ser>
          <c:idx val="1"/>
          <c:order val="1"/>
          <c:tx>
            <c:v>Model</c:v>
          </c:tx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Sheet1!$B$7:$B$41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Sheet1!$E$7:$E$41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7D-4026-BC5A-89259A363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715736"/>
        <c:axId val="320716064"/>
      </c:scatterChart>
      <c:valAx>
        <c:axId val="32071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0716064"/>
        <c:crosses val="autoZero"/>
        <c:crossBetween val="midCat"/>
      </c:valAx>
      <c:valAx>
        <c:axId val="32071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0715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609599</xdr:colOff>
      <xdr:row>4</xdr:row>
      <xdr:rowOff>114299</xdr:rowOff>
    </xdr:from>
    <xdr:to>
      <xdr:col>22</xdr:col>
      <xdr:colOff>485774</xdr:colOff>
      <xdr:row>31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66675</xdr:rowOff>
        </xdr:from>
        <xdr:to>
          <xdr:col>2</xdr:col>
          <xdr:colOff>257175</xdr:colOff>
          <xdr:row>2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Train z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(200 steps)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11"/>
  <sheetViews>
    <sheetView showGridLines="0" tabSelected="1" workbookViewId="0"/>
  </sheetViews>
  <sheetFormatPr defaultRowHeight="15" x14ac:dyDescent="0.25"/>
  <cols>
    <col min="1" max="1" width="16.42578125" customWidth="1"/>
    <col min="4" max="4" width="2.7109375" customWidth="1"/>
    <col min="5" max="5" width="6.85546875" customWidth="1"/>
    <col min="6" max="6" width="2.140625" customWidth="1"/>
    <col min="7" max="7" width="19.7109375" customWidth="1"/>
    <col min="8" max="8" width="25.7109375" customWidth="1"/>
    <col min="9" max="9" width="2.28515625" customWidth="1"/>
    <col min="10" max="10" width="19.7109375" hidden="1" customWidth="1"/>
    <col min="11" max="11" width="25.7109375" hidden="1" customWidth="1"/>
    <col min="24" max="24" width="5.42578125" customWidth="1"/>
  </cols>
  <sheetData>
    <row r="1" spans="1:28" ht="26.25" customHeight="1" x14ac:dyDescent="0.25"/>
    <row r="3" spans="1:28" ht="24" customHeight="1" x14ac:dyDescent="0.25">
      <c r="A3" s="1"/>
      <c r="B3" s="2" t="s">
        <v>13</v>
      </c>
      <c r="C3" s="2" t="s">
        <v>12</v>
      </c>
      <c r="D3" s="2"/>
      <c r="E3" s="2" t="s">
        <v>11</v>
      </c>
      <c r="F3" s="8"/>
      <c r="G3" s="2" t="s">
        <v>5</v>
      </c>
      <c r="H3" s="2" t="s">
        <v>6</v>
      </c>
      <c r="I3" s="2"/>
      <c r="J3" s="2" t="s">
        <v>7</v>
      </c>
      <c r="K3" s="2" t="s">
        <v>6</v>
      </c>
      <c r="O3" s="2" t="s">
        <v>19</v>
      </c>
      <c r="P3" s="6" t="s">
        <v>1</v>
      </c>
      <c r="Q3" s="6" t="s">
        <v>3</v>
      </c>
      <c r="R3" s="6" t="s">
        <v>4</v>
      </c>
      <c r="S3" s="7">
        <f>E6</f>
        <v>0</v>
      </c>
      <c r="T3" s="2"/>
    </row>
    <row r="4" spans="1:28" x14ac:dyDescent="0.25">
      <c r="B4" s="1" t="s">
        <v>0</v>
      </c>
      <c r="C4" s="1" t="s">
        <v>1</v>
      </c>
      <c r="D4" s="1"/>
      <c r="E4" s="1" t="s">
        <v>10</v>
      </c>
      <c r="F4" s="1"/>
      <c r="G4" s="1" t="s">
        <v>8</v>
      </c>
      <c r="H4" s="1" t="s">
        <v>9</v>
      </c>
      <c r="I4" s="1"/>
      <c r="J4" s="1" t="s">
        <v>15</v>
      </c>
      <c r="K4" s="1" t="s">
        <v>16</v>
      </c>
      <c r="Y4" s="14" t="s">
        <v>18</v>
      </c>
      <c r="Z4" s="15"/>
      <c r="AA4" s="15"/>
      <c r="AB4" s="16"/>
    </row>
    <row r="5" spans="1:28" ht="17.25" customHeight="1" x14ac:dyDescent="0.25">
      <c r="C5" s="12" t="s">
        <v>17</v>
      </c>
      <c r="D5" s="1"/>
      <c r="E5" s="1"/>
      <c r="F5" s="1"/>
      <c r="G5" s="9" t="s">
        <v>14</v>
      </c>
      <c r="H5" s="11">
        <v>0.01</v>
      </c>
      <c r="I5" s="10"/>
      <c r="J5" s="9" t="s">
        <v>14</v>
      </c>
      <c r="K5" s="11">
        <v>0.01</v>
      </c>
      <c r="Y5" s="17"/>
      <c r="Z5" s="18"/>
      <c r="AA5" s="18"/>
      <c r="AB5" s="19"/>
    </row>
    <row r="6" spans="1:28" x14ac:dyDescent="0.25">
      <c r="B6" s="2"/>
      <c r="C6" s="13"/>
      <c r="D6" s="4" t="s">
        <v>2</v>
      </c>
      <c r="E6" s="5">
        <v>0</v>
      </c>
      <c r="F6" s="2"/>
      <c r="G6" s="3">
        <f>SUM(G7:G111)</f>
        <v>685.53279593531829</v>
      </c>
      <c r="H6" s="2">
        <f>SUM(H7:H111)/COUNT(H7:H111)*H5</f>
        <v>-6.1345900127272923E-2</v>
      </c>
      <c r="I6" s="2"/>
      <c r="J6" s="3">
        <f>SUM(J7:J111)</f>
        <v>2575.5327959353181</v>
      </c>
      <c r="K6" s="2">
        <f>SUM(K7:K111)/COUNT(K7:K111)*K5</f>
        <v>-5.1345900127272907E-2</v>
      </c>
      <c r="Y6" s="17"/>
      <c r="Z6" s="18"/>
      <c r="AA6" s="18"/>
      <c r="AB6" s="19"/>
    </row>
    <row r="7" spans="1:28" x14ac:dyDescent="0.25">
      <c r="B7">
        <v>1</v>
      </c>
      <c r="C7">
        <v>1.4872404422974674</v>
      </c>
      <c r="E7">
        <f>B7^$E$6</f>
        <v>1</v>
      </c>
      <c r="G7">
        <f>LOG(C7/E7)^2</f>
        <v>2.9715273502777136E-2</v>
      </c>
      <c r="H7">
        <f>-2*LOG(B7)*LOG(C7*B7^-$E$6)</f>
        <v>0</v>
      </c>
      <c r="J7">
        <f>LOG(C7/E7)^2+B7</f>
        <v>1.029715273502777</v>
      </c>
      <c r="K7">
        <f>1-2*LOG(B7)*LOG(C7*B7^-$E$6)</f>
        <v>1</v>
      </c>
      <c r="Y7" s="17"/>
      <c r="Z7" s="18"/>
      <c r="AA7" s="18"/>
      <c r="AB7" s="19"/>
    </row>
    <row r="8" spans="1:28" x14ac:dyDescent="0.25">
      <c r="B8">
        <v>2</v>
      </c>
      <c r="C8">
        <v>6.6292969818558714</v>
      </c>
      <c r="E8">
        <f t="shared" ref="E8:E41" si="0">B8^$E$6</f>
        <v>1</v>
      </c>
      <c r="G8">
        <f t="shared" ref="G8:G71" si="1">LOG(C8/E8)^2</f>
        <v>0.67480881272685012</v>
      </c>
      <c r="H8">
        <f t="shared" ref="H8:H71" si="2">-2*LOG(B8)*LOG(C8*B8^-$E$6)</f>
        <v>-0.49457270096410855</v>
      </c>
      <c r="J8">
        <f t="shared" ref="J8:J71" si="3">LOG(C8/E8)^2+B8</f>
        <v>2.6748088127268499</v>
      </c>
      <c r="K8">
        <f t="shared" ref="K8:K71" si="4">1-2*LOG(B8)*LOG(C8*B8^-$E$6)</f>
        <v>0.50542729903589145</v>
      </c>
      <c r="Y8" s="17"/>
      <c r="Z8" s="18"/>
      <c r="AA8" s="18"/>
      <c r="AB8" s="19"/>
    </row>
    <row r="9" spans="1:28" x14ac:dyDescent="0.25">
      <c r="B9">
        <v>3</v>
      </c>
      <c r="C9">
        <v>10.225000070273918</v>
      </c>
      <c r="E9">
        <f>B9^$E$6</f>
        <v>1</v>
      </c>
      <c r="G9">
        <f t="shared" si="1"/>
        <v>1.0194200190752898</v>
      </c>
      <c r="H9">
        <f t="shared" si="2"/>
        <v>-0.96346365984518534</v>
      </c>
      <c r="J9">
        <f t="shared" si="3"/>
        <v>4.01942001907529</v>
      </c>
      <c r="K9">
        <f t="shared" si="4"/>
        <v>3.6536340154814662E-2</v>
      </c>
      <c r="Y9" s="17"/>
      <c r="Z9" s="18"/>
      <c r="AA9" s="18"/>
      <c r="AB9" s="19"/>
    </row>
    <row r="10" spans="1:28" x14ac:dyDescent="0.25">
      <c r="B10">
        <v>4</v>
      </c>
      <c r="C10">
        <v>27.584229428899512</v>
      </c>
      <c r="E10">
        <f t="shared" si="0"/>
        <v>1</v>
      </c>
      <c r="G10">
        <f t="shared" si="1"/>
        <v>2.0755037030418286</v>
      </c>
      <c r="H10">
        <f t="shared" si="2"/>
        <v>-1.7347285253707236</v>
      </c>
      <c r="J10">
        <f t="shared" si="3"/>
        <v>6.0755037030418286</v>
      </c>
      <c r="K10">
        <f t="shared" si="4"/>
        <v>-0.73472852537072364</v>
      </c>
      <c r="Y10" s="17"/>
      <c r="Z10" s="18"/>
      <c r="AA10" s="18"/>
      <c r="AB10" s="19"/>
    </row>
    <row r="11" spans="1:28" x14ac:dyDescent="0.25">
      <c r="B11">
        <v>5</v>
      </c>
      <c r="C11">
        <v>26.972962289327999</v>
      </c>
      <c r="E11">
        <f t="shared" si="0"/>
        <v>1</v>
      </c>
      <c r="G11">
        <f t="shared" si="1"/>
        <v>2.0475567876594223</v>
      </c>
      <c r="H11">
        <f t="shared" si="2"/>
        <v>-2.0003524026826489</v>
      </c>
      <c r="J11">
        <f t="shared" si="3"/>
        <v>7.0475567876594223</v>
      </c>
      <c r="K11">
        <f t="shared" si="4"/>
        <v>-1.0003524026826489</v>
      </c>
      <c r="Y11" s="17"/>
      <c r="Z11" s="18"/>
      <c r="AA11" s="18"/>
      <c r="AB11" s="19"/>
    </row>
    <row r="12" spans="1:28" x14ac:dyDescent="0.25">
      <c r="B12">
        <v>6</v>
      </c>
      <c r="C12">
        <v>58.473652332918995</v>
      </c>
      <c r="E12">
        <f t="shared" si="0"/>
        <v>1</v>
      </c>
      <c r="G12">
        <f t="shared" si="1"/>
        <v>3.1221484233996253</v>
      </c>
      <c r="H12">
        <f t="shared" si="2"/>
        <v>-2.7499246110523647</v>
      </c>
      <c r="J12">
        <f t="shared" si="3"/>
        <v>9.1221484233996257</v>
      </c>
      <c r="K12">
        <f t="shared" si="4"/>
        <v>-1.7499246110523647</v>
      </c>
      <c r="Y12" s="17"/>
      <c r="Z12" s="18"/>
      <c r="AA12" s="18"/>
      <c r="AB12" s="19"/>
    </row>
    <row r="13" spans="1:28" x14ac:dyDescent="0.25">
      <c r="B13">
        <v>7</v>
      </c>
      <c r="C13">
        <v>49.390822133873847</v>
      </c>
      <c r="E13">
        <f t="shared" si="0"/>
        <v>1</v>
      </c>
      <c r="G13">
        <f t="shared" si="1"/>
        <v>2.8684376379603789</v>
      </c>
      <c r="H13">
        <f t="shared" si="2"/>
        <v>-2.862594261597498</v>
      </c>
      <c r="J13">
        <f t="shared" si="3"/>
        <v>9.8684376379603798</v>
      </c>
      <c r="K13">
        <f t="shared" si="4"/>
        <v>-1.862594261597498</v>
      </c>
      <c r="Y13" s="17"/>
      <c r="Z13" s="18"/>
      <c r="AA13" s="18"/>
      <c r="AB13" s="19"/>
    </row>
    <row r="14" spans="1:28" x14ac:dyDescent="0.25">
      <c r="B14">
        <v>8</v>
      </c>
      <c r="C14">
        <v>118.52231719092957</v>
      </c>
      <c r="E14">
        <f t="shared" si="0"/>
        <v>1</v>
      </c>
      <c r="G14">
        <f t="shared" si="1"/>
        <v>4.3006469942849241</v>
      </c>
      <c r="H14">
        <f t="shared" si="2"/>
        <v>-3.7456562714255206</v>
      </c>
      <c r="J14">
        <f t="shared" si="3"/>
        <v>12.300646994284925</v>
      </c>
      <c r="K14">
        <f t="shared" si="4"/>
        <v>-2.7456562714255206</v>
      </c>
      <c r="Y14" s="17"/>
      <c r="Z14" s="18"/>
      <c r="AA14" s="18"/>
      <c r="AB14" s="19"/>
    </row>
    <row r="15" spans="1:28" x14ac:dyDescent="0.25">
      <c r="B15">
        <v>9</v>
      </c>
      <c r="C15">
        <v>81.049229470953989</v>
      </c>
      <c r="E15">
        <f>B15^$E$6</f>
        <v>1</v>
      </c>
      <c r="G15">
        <f t="shared" si="1"/>
        <v>3.6433223265977182</v>
      </c>
      <c r="H15">
        <f t="shared" si="2"/>
        <v>-3.6428186621268899</v>
      </c>
      <c r="J15">
        <f t="shared" si="3"/>
        <v>12.643322326597719</v>
      </c>
      <c r="K15">
        <f t="shared" si="4"/>
        <v>-2.6428186621268899</v>
      </c>
      <c r="Y15" s="17"/>
      <c r="Z15" s="18"/>
      <c r="AA15" s="18"/>
      <c r="AB15" s="19"/>
    </row>
    <row r="16" spans="1:28" x14ac:dyDescent="0.25">
      <c r="B16">
        <v>10</v>
      </c>
      <c r="C16">
        <v>150.6067056083152</v>
      </c>
      <c r="E16">
        <f t="shared" si="0"/>
        <v>1</v>
      </c>
      <c r="G16">
        <f t="shared" si="1"/>
        <v>4.7430058334129734</v>
      </c>
      <c r="H16">
        <f t="shared" si="2"/>
        <v>-4.3556886176185614</v>
      </c>
      <c r="J16">
        <f t="shared" si="3"/>
        <v>14.743005833412973</v>
      </c>
      <c r="K16">
        <f t="shared" si="4"/>
        <v>-3.3556886176185614</v>
      </c>
      <c r="Y16" s="17"/>
      <c r="Z16" s="18"/>
      <c r="AA16" s="18"/>
      <c r="AB16" s="19"/>
    </row>
    <row r="17" spans="2:28" x14ac:dyDescent="0.25">
      <c r="B17">
        <v>11</v>
      </c>
      <c r="C17">
        <v>151.84554482637455</v>
      </c>
      <c r="E17">
        <f t="shared" si="0"/>
        <v>1</v>
      </c>
      <c r="G17">
        <f t="shared" si="1"/>
        <v>4.7585149219311429</v>
      </c>
      <c r="H17">
        <f t="shared" si="2"/>
        <v>-4.5433922852006869</v>
      </c>
      <c r="J17">
        <f t="shared" si="3"/>
        <v>15.758514921931143</v>
      </c>
      <c r="K17">
        <f t="shared" si="4"/>
        <v>-3.5433922852006869</v>
      </c>
      <c r="Y17" s="17"/>
      <c r="Z17" s="18"/>
      <c r="AA17" s="18"/>
      <c r="AB17" s="19"/>
    </row>
    <row r="18" spans="2:28" x14ac:dyDescent="0.25">
      <c r="B18">
        <v>12</v>
      </c>
      <c r="C18">
        <v>160.12953638730932</v>
      </c>
      <c r="E18">
        <f t="shared" si="0"/>
        <v>1</v>
      </c>
      <c r="G18">
        <f t="shared" si="1"/>
        <v>4.8596943574023639</v>
      </c>
      <c r="H18">
        <f t="shared" si="2"/>
        <v>-4.7580484845156281</v>
      </c>
      <c r="J18">
        <f t="shared" si="3"/>
        <v>16.859694357402365</v>
      </c>
      <c r="K18">
        <f t="shared" si="4"/>
        <v>-3.7580484845156281</v>
      </c>
      <c r="Y18" s="17"/>
      <c r="Z18" s="18"/>
      <c r="AA18" s="18"/>
      <c r="AB18" s="19"/>
    </row>
    <row r="19" spans="2:28" x14ac:dyDescent="0.25">
      <c r="B19">
        <v>13</v>
      </c>
      <c r="C19">
        <v>279.44192459758278</v>
      </c>
      <c r="E19">
        <f t="shared" si="0"/>
        <v>1</v>
      </c>
      <c r="G19">
        <f t="shared" si="1"/>
        <v>5.9843424148839519</v>
      </c>
      <c r="H19">
        <f t="shared" si="2"/>
        <v>-5.4500604504915584</v>
      </c>
      <c r="J19">
        <f t="shared" si="3"/>
        <v>18.984342414883951</v>
      </c>
      <c r="K19">
        <f t="shared" si="4"/>
        <v>-4.4500604504915584</v>
      </c>
      <c r="Y19" s="17"/>
      <c r="Z19" s="18"/>
      <c r="AA19" s="18"/>
      <c r="AB19" s="19"/>
    </row>
    <row r="20" spans="2:28" x14ac:dyDescent="0.25">
      <c r="B20">
        <v>14</v>
      </c>
      <c r="C20">
        <v>287.55890942612524</v>
      </c>
      <c r="E20">
        <f t="shared" si="0"/>
        <v>1</v>
      </c>
      <c r="G20">
        <f t="shared" si="1"/>
        <v>6.0453376140909336</v>
      </c>
      <c r="H20">
        <f t="shared" si="2"/>
        <v>-5.6360314989935762</v>
      </c>
      <c r="J20">
        <f t="shared" si="3"/>
        <v>20.045337614090933</v>
      </c>
      <c r="K20">
        <f t="shared" si="4"/>
        <v>-4.6360314989935762</v>
      </c>
      <c r="Y20" s="17"/>
      <c r="Z20" s="18"/>
      <c r="AA20" s="18"/>
      <c r="AB20" s="19"/>
    </row>
    <row r="21" spans="2:28" x14ac:dyDescent="0.25">
      <c r="B21">
        <v>15</v>
      </c>
      <c r="C21">
        <v>434.66069570404716</v>
      </c>
      <c r="E21">
        <f t="shared" si="0"/>
        <v>1</v>
      </c>
      <c r="G21">
        <f t="shared" si="1"/>
        <v>6.9598373788746128</v>
      </c>
      <c r="H21">
        <f t="shared" si="2"/>
        <v>-6.2054111823101907</v>
      </c>
      <c r="J21">
        <f t="shared" si="3"/>
        <v>21.959837378874614</v>
      </c>
      <c r="K21">
        <f t="shared" si="4"/>
        <v>-5.2054111823101907</v>
      </c>
      <c r="Y21" s="17"/>
      <c r="Z21" s="18"/>
      <c r="AA21" s="18"/>
      <c r="AB21" s="19"/>
    </row>
    <row r="22" spans="2:28" x14ac:dyDescent="0.25">
      <c r="B22">
        <v>16</v>
      </c>
      <c r="C22">
        <v>484.07877006701381</v>
      </c>
      <c r="E22">
        <f t="shared" si="0"/>
        <v>1</v>
      </c>
      <c r="G22">
        <f t="shared" si="1"/>
        <v>7.2087741229648197</v>
      </c>
      <c r="H22">
        <f t="shared" si="2"/>
        <v>-6.465922102565604</v>
      </c>
      <c r="J22">
        <f t="shared" si="3"/>
        <v>23.208774122964819</v>
      </c>
      <c r="K22">
        <f t="shared" si="4"/>
        <v>-5.465922102565604</v>
      </c>
      <c r="Y22" s="17"/>
      <c r="Z22" s="18"/>
      <c r="AA22" s="18"/>
      <c r="AB22" s="19"/>
    </row>
    <row r="23" spans="2:28" x14ac:dyDescent="0.25">
      <c r="B23">
        <v>17</v>
      </c>
      <c r="C23">
        <v>422.24366575471765</v>
      </c>
      <c r="E23">
        <f t="shared" si="0"/>
        <v>1</v>
      </c>
      <c r="G23">
        <f t="shared" si="1"/>
        <v>6.8935818192849325</v>
      </c>
      <c r="H23">
        <f t="shared" si="2"/>
        <v>-6.4612426752881937</v>
      </c>
      <c r="J23">
        <f t="shared" si="3"/>
        <v>23.893581819284933</v>
      </c>
      <c r="K23">
        <f t="shared" si="4"/>
        <v>-5.4612426752881937</v>
      </c>
      <c r="Y23" s="17"/>
      <c r="Z23" s="18"/>
      <c r="AA23" s="18"/>
      <c r="AB23" s="19"/>
    </row>
    <row r="24" spans="2:28" x14ac:dyDescent="0.25">
      <c r="B24">
        <v>18</v>
      </c>
      <c r="C24">
        <v>418.80951390204592</v>
      </c>
      <c r="E24">
        <f t="shared" si="0"/>
        <v>1</v>
      </c>
      <c r="G24">
        <f t="shared" si="1"/>
        <v>6.8749707296660887</v>
      </c>
      <c r="H24">
        <f t="shared" si="2"/>
        <v>-6.5826905381278165</v>
      </c>
      <c r="J24">
        <f t="shared" si="3"/>
        <v>24.874970729666089</v>
      </c>
      <c r="K24">
        <f t="shared" si="4"/>
        <v>-5.5826905381278165</v>
      </c>
      <c r="Y24" s="17"/>
      <c r="Z24" s="18"/>
      <c r="AA24" s="18"/>
      <c r="AB24" s="19"/>
    </row>
    <row r="25" spans="2:28" x14ac:dyDescent="0.25">
      <c r="B25">
        <v>19</v>
      </c>
      <c r="C25">
        <v>614.06223506555489</v>
      </c>
      <c r="E25">
        <f t="shared" si="0"/>
        <v>1</v>
      </c>
      <c r="G25">
        <f t="shared" si="1"/>
        <v>7.7741283262686647</v>
      </c>
      <c r="H25">
        <f t="shared" si="2"/>
        <v>-7.1308732653539133</v>
      </c>
      <c r="J25">
        <f t="shared" si="3"/>
        <v>26.774128326268666</v>
      </c>
      <c r="K25">
        <f t="shared" si="4"/>
        <v>-6.1308732653539133</v>
      </c>
      <c r="Y25" s="17"/>
      <c r="Z25" s="18"/>
      <c r="AA25" s="18"/>
      <c r="AB25" s="19"/>
    </row>
    <row r="26" spans="2:28" x14ac:dyDescent="0.25">
      <c r="B26">
        <v>20</v>
      </c>
      <c r="C26">
        <v>467.50625637304074</v>
      </c>
      <c r="E26">
        <f t="shared" si="0"/>
        <v>1</v>
      </c>
      <c r="G26">
        <f t="shared" si="1"/>
        <v>7.1277649062535726</v>
      </c>
      <c r="H26">
        <f t="shared" si="2"/>
        <v>-6.9469470495790278</v>
      </c>
      <c r="J26">
        <f t="shared" si="3"/>
        <v>27.127764906253574</v>
      </c>
      <c r="K26">
        <f t="shared" si="4"/>
        <v>-5.9469470495790278</v>
      </c>
      <c r="Y26" s="17"/>
      <c r="Z26" s="18"/>
      <c r="AA26" s="18"/>
      <c r="AB26" s="19"/>
    </row>
    <row r="27" spans="2:28" x14ac:dyDescent="0.25">
      <c r="B27">
        <v>21</v>
      </c>
      <c r="C27">
        <v>628.41109162688713</v>
      </c>
      <c r="E27">
        <f t="shared" si="0"/>
        <v>1</v>
      </c>
      <c r="G27">
        <f t="shared" si="1"/>
        <v>7.8301685984595712</v>
      </c>
      <c r="H27">
        <f t="shared" si="2"/>
        <v>-7.399783998132718</v>
      </c>
      <c r="J27">
        <f t="shared" si="3"/>
        <v>28.830168598459572</v>
      </c>
      <c r="K27">
        <f t="shared" si="4"/>
        <v>-6.399783998132718</v>
      </c>
      <c r="Y27" s="17"/>
      <c r="Z27" s="18"/>
      <c r="AA27" s="18"/>
      <c r="AB27" s="19"/>
    </row>
    <row r="28" spans="2:28" x14ac:dyDescent="0.25">
      <c r="B28">
        <v>22</v>
      </c>
      <c r="C28">
        <v>505.94394577539384</v>
      </c>
      <c r="E28">
        <f t="shared" si="0"/>
        <v>1</v>
      </c>
      <c r="G28">
        <f t="shared" si="1"/>
        <v>7.3121698081976323</v>
      </c>
      <c r="H28">
        <f t="shared" si="2"/>
        <v>-7.2600967952415445</v>
      </c>
      <c r="J28">
        <f t="shared" si="3"/>
        <v>29.312169808197631</v>
      </c>
      <c r="K28">
        <f t="shared" si="4"/>
        <v>-6.2600967952415445</v>
      </c>
      <c r="Y28" s="17"/>
      <c r="Z28" s="18"/>
      <c r="AA28" s="18"/>
      <c r="AB28" s="19"/>
    </row>
    <row r="29" spans="2:28" x14ac:dyDescent="0.25">
      <c r="B29">
        <v>23</v>
      </c>
      <c r="C29">
        <v>729.74447995058779</v>
      </c>
      <c r="E29">
        <f t="shared" si="0"/>
        <v>1</v>
      </c>
      <c r="G29">
        <f t="shared" si="1"/>
        <v>8.1977471359843577</v>
      </c>
      <c r="H29">
        <f t="shared" si="2"/>
        <v>-7.7977188056848341</v>
      </c>
      <c r="J29">
        <f t="shared" si="3"/>
        <v>31.197747135984358</v>
      </c>
      <c r="K29">
        <f t="shared" si="4"/>
        <v>-6.7977188056848341</v>
      </c>
      <c r="Y29" s="17"/>
      <c r="Z29" s="18"/>
      <c r="AA29" s="18"/>
      <c r="AB29" s="19"/>
    </row>
    <row r="30" spans="2:28" x14ac:dyDescent="0.25">
      <c r="B30">
        <v>24</v>
      </c>
      <c r="C30">
        <v>1109.6082702163174</v>
      </c>
      <c r="E30">
        <f t="shared" si="0"/>
        <v>1</v>
      </c>
      <c r="G30">
        <f t="shared" si="1"/>
        <v>9.2730584104051434</v>
      </c>
      <c r="H30">
        <f t="shared" si="2"/>
        <v>-8.4059548642956212</v>
      </c>
      <c r="J30">
        <f t="shared" si="3"/>
        <v>33.273058410405142</v>
      </c>
      <c r="K30">
        <f t="shared" si="4"/>
        <v>-7.4059548642956212</v>
      </c>
      <c r="Y30" s="17"/>
      <c r="Z30" s="18"/>
      <c r="AA30" s="18"/>
      <c r="AB30" s="19"/>
    </row>
    <row r="31" spans="2:28" x14ac:dyDescent="0.25">
      <c r="B31">
        <v>25</v>
      </c>
      <c r="C31">
        <v>1138.8052767366858</v>
      </c>
      <c r="E31">
        <f t="shared" si="0"/>
        <v>1</v>
      </c>
      <c r="G31">
        <f t="shared" si="1"/>
        <v>9.3418833676422324</v>
      </c>
      <c r="H31">
        <f t="shared" si="2"/>
        <v>-8.5454659994721318</v>
      </c>
      <c r="J31">
        <f t="shared" si="3"/>
        <v>34.341883367642232</v>
      </c>
      <c r="K31">
        <f t="shared" si="4"/>
        <v>-7.5454659994721318</v>
      </c>
      <c r="Y31" s="20"/>
      <c r="Z31" s="21"/>
      <c r="AA31" s="21"/>
      <c r="AB31" s="22"/>
    </row>
    <row r="32" spans="2:28" x14ac:dyDescent="0.25">
      <c r="B32">
        <v>26</v>
      </c>
      <c r="C32">
        <v>1332.314073826501</v>
      </c>
      <c r="E32">
        <f t="shared" si="0"/>
        <v>1</v>
      </c>
      <c r="G32">
        <f t="shared" si="1"/>
        <v>9.763166502022953</v>
      </c>
      <c r="H32">
        <f t="shared" si="2"/>
        <v>-8.8424701678311965</v>
      </c>
      <c r="J32">
        <f t="shared" si="3"/>
        <v>35.763166502022955</v>
      </c>
      <c r="K32">
        <f t="shared" si="4"/>
        <v>-7.8424701678311965</v>
      </c>
    </row>
    <row r="33" spans="2:11" x14ac:dyDescent="0.25">
      <c r="B33">
        <v>27</v>
      </c>
      <c r="C33">
        <v>1195.9924191374125</v>
      </c>
      <c r="E33">
        <f t="shared" si="0"/>
        <v>1</v>
      </c>
      <c r="G33">
        <f t="shared" si="1"/>
        <v>9.4724122695148782</v>
      </c>
      <c r="H33">
        <f t="shared" si="2"/>
        <v>-8.8106978922648249</v>
      </c>
      <c r="J33">
        <f t="shared" si="3"/>
        <v>36.472412269514876</v>
      </c>
      <c r="K33">
        <f t="shared" si="4"/>
        <v>-7.8106978922648249</v>
      </c>
    </row>
    <row r="34" spans="2:11" x14ac:dyDescent="0.25">
      <c r="B34">
        <v>28</v>
      </c>
      <c r="C34">
        <v>1087.3515625545392</v>
      </c>
      <c r="E34">
        <f t="shared" si="0"/>
        <v>1</v>
      </c>
      <c r="G34">
        <f t="shared" si="1"/>
        <v>9.2195426730661936</v>
      </c>
      <c r="H34">
        <f t="shared" si="2"/>
        <v>-8.7882144137651323</v>
      </c>
      <c r="J34">
        <f t="shared" si="3"/>
        <v>37.219542673066194</v>
      </c>
      <c r="K34">
        <f t="shared" si="4"/>
        <v>-7.7882144137651323</v>
      </c>
    </row>
    <row r="35" spans="2:11" x14ac:dyDescent="0.25">
      <c r="B35">
        <v>29</v>
      </c>
      <c r="C35">
        <v>1008.0539410030069</v>
      </c>
      <c r="E35">
        <f t="shared" si="0"/>
        <v>1</v>
      </c>
      <c r="G35">
        <f t="shared" si="1"/>
        <v>9.0209147677350465</v>
      </c>
      <c r="H35">
        <f t="shared" si="2"/>
        <v>-8.7845773093356705</v>
      </c>
      <c r="J35">
        <f t="shared" si="3"/>
        <v>38.02091476773505</v>
      </c>
      <c r="K35">
        <f t="shared" si="4"/>
        <v>-7.7845773093356705</v>
      </c>
    </row>
    <row r="36" spans="2:11" x14ac:dyDescent="0.25">
      <c r="B36">
        <v>30</v>
      </c>
      <c r="C36">
        <v>1080.522456845187</v>
      </c>
      <c r="E36">
        <f t="shared" si="0"/>
        <v>1</v>
      </c>
      <c r="G36">
        <f t="shared" si="1"/>
        <v>9.2029340166955773</v>
      </c>
      <c r="H36">
        <f t="shared" si="2"/>
        <v>-8.9620899223353589</v>
      </c>
      <c r="J36">
        <f t="shared" si="3"/>
        <v>39.202934016695579</v>
      </c>
      <c r="K36">
        <f t="shared" si="4"/>
        <v>-7.9620899223353589</v>
      </c>
    </row>
    <row r="37" spans="2:11" x14ac:dyDescent="0.25">
      <c r="B37">
        <v>31</v>
      </c>
      <c r="C37">
        <v>1497.4259845565603</v>
      </c>
      <c r="E37">
        <f t="shared" si="0"/>
        <v>1</v>
      </c>
      <c r="G37">
        <f t="shared" si="1"/>
        <v>10.082818187594391</v>
      </c>
      <c r="H37">
        <f t="shared" si="2"/>
        <v>-9.4711768843769075</v>
      </c>
      <c r="J37">
        <f t="shared" si="3"/>
        <v>41.082818187594391</v>
      </c>
      <c r="K37">
        <f t="shared" si="4"/>
        <v>-8.4711768843769075</v>
      </c>
    </row>
    <row r="38" spans="2:11" x14ac:dyDescent="0.25">
      <c r="B38">
        <v>32</v>
      </c>
      <c r="C38">
        <v>1114.846163754491</v>
      </c>
      <c r="E38">
        <f t="shared" si="0"/>
        <v>1</v>
      </c>
      <c r="G38">
        <f t="shared" si="1"/>
        <v>9.2855189134693408</v>
      </c>
      <c r="H38">
        <f t="shared" si="2"/>
        <v>-9.1730310130704851</v>
      </c>
      <c r="J38">
        <f t="shared" si="3"/>
        <v>41.285518913469339</v>
      </c>
      <c r="K38">
        <f t="shared" si="4"/>
        <v>-8.1730310130704851</v>
      </c>
    </row>
    <row r="39" spans="2:11" x14ac:dyDescent="0.25">
      <c r="B39">
        <v>33</v>
      </c>
      <c r="C39">
        <v>1770.8589194016758</v>
      </c>
      <c r="E39">
        <f t="shared" si="0"/>
        <v>1</v>
      </c>
      <c r="G39">
        <f t="shared" si="1"/>
        <v>10.550699059062881</v>
      </c>
      <c r="H39">
        <f t="shared" si="2"/>
        <v>-9.8648252549417368</v>
      </c>
      <c r="J39">
        <f t="shared" si="3"/>
        <v>43.550699059062879</v>
      </c>
      <c r="K39">
        <f t="shared" si="4"/>
        <v>-8.8648252549417368</v>
      </c>
    </row>
    <row r="40" spans="2:11" x14ac:dyDescent="0.25">
      <c r="B40">
        <v>34</v>
      </c>
      <c r="C40">
        <v>1575.9996354280493</v>
      </c>
      <c r="E40">
        <f t="shared" si="0"/>
        <v>1</v>
      </c>
      <c r="G40">
        <f t="shared" si="1"/>
        <v>10.224365093796836</v>
      </c>
      <c r="H40">
        <f t="shared" si="2"/>
        <v>-9.7939795452865663</v>
      </c>
      <c r="J40">
        <f t="shared" si="3"/>
        <v>44.224365093796834</v>
      </c>
      <c r="K40">
        <f t="shared" si="4"/>
        <v>-8.7939795452865663</v>
      </c>
    </row>
    <row r="41" spans="2:11" x14ac:dyDescent="0.25">
      <c r="B41">
        <v>35</v>
      </c>
      <c r="C41">
        <v>1780.9348279044366</v>
      </c>
      <c r="E41">
        <f t="shared" si="0"/>
        <v>1</v>
      </c>
      <c r="G41">
        <f t="shared" si="1"/>
        <v>10.566712595722572</v>
      </c>
      <c r="H41">
        <f t="shared" si="2"/>
        <v>-10.038443483976645</v>
      </c>
      <c r="J41">
        <f t="shared" si="3"/>
        <v>45.566712595722571</v>
      </c>
      <c r="K41">
        <f t="shared" si="4"/>
        <v>-9.0384434839766445</v>
      </c>
    </row>
    <row r="42" spans="2:11" x14ac:dyDescent="0.25">
      <c r="B42">
        <v>1</v>
      </c>
      <c r="C42">
        <v>1.777484715462573</v>
      </c>
      <c r="E42">
        <f t="shared" ref="E42:E105" si="5">B42^$E$6</f>
        <v>1</v>
      </c>
      <c r="G42">
        <f t="shared" si="1"/>
        <v>6.2402975150900014E-2</v>
      </c>
      <c r="H42">
        <f t="shared" si="2"/>
        <v>0</v>
      </c>
      <c r="J42">
        <f t="shared" si="3"/>
        <v>1.0624029751509001</v>
      </c>
      <c r="K42">
        <f t="shared" si="4"/>
        <v>1</v>
      </c>
    </row>
    <row r="43" spans="2:11" x14ac:dyDescent="0.25">
      <c r="B43">
        <v>2</v>
      </c>
      <c r="C43">
        <v>5.2166550180611111</v>
      </c>
      <c r="E43">
        <f t="shared" si="5"/>
        <v>1</v>
      </c>
      <c r="G43">
        <f t="shared" si="1"/>
        <v>0.51465145010725266</v>
      </c>
      <c r="H43">
        <f t="shared" si="2"/>
        <v>-0.4319130919804236</v>
      </c>
      <c r="J43">
        <f t="shared" si="3"/>
        <v>2.5146514501072526</v>
      </c>
      <c r="K43">
        <f t="shared" si="4"/>
        <v>0.5680869080195764</v>
      </c>
    </row>
    <row r="44" spans="2:11" x14ac:dyDescent="0.25">
      <c r="B44">
        <v>3</v>
      </c>
      <c r="C44">
        <v>13.278123835673719</v>
      </c>
      <c r="E44">
        <f t="shared" si="5"/>
        <v>1</v>
      </c>
      <c r="G44">
        <f t="shared" si="1"/>
        <v>1.2614360798787763</v>
      </c>
      <c r="H44">
        <f t="shared" si="2"/>
        <v>-1.0717447970667309</v>
      </c>
      <c r="J44">
        <f t="shared" si="3"/>
        <v>4.2614360798787763</v>
      </c>
      <c r="K44">
        <f t="shared" si="4"/>
        <v>-7.174479706673087E-2</v>
      </c>
    </row>
    <row r="45" spans="2:11" x14ac:dyDescent="0.25">
      <c r="B45">
        <v>4</v>
      </c>
      <c r="C45">
        <v>28.109353570588752</v>
      </c>
      <c r="E45">
        <f t="shared" si="5"/>
        <v>1</v>
      </c>
      <c r="G45">
        <f t="shared" si="1"/>
        <v>2.0991688095201426</v>
      </c>
      <c r="H45">
        <f t="shared" si="2"/>
        <v>-1.744590270335427</v>
      </c>
      <c r="J45">
        <f t="shared" si="3"/>
        <v>6.0991688095201422</v>
      </c>
      <c r="K45">
        <f t="shared" si="4"/>
        <v>-0.74459027033542702</v>
      </c>
    </row>
    <row r="46" spans="2:11" x14ac:dyDescent="0.25">
      <c r="B46">
        <v>5</v>
      </c>
      <c r="C46">
        <v>27.713507467234248</v>
      </c>
      <c r="E46">
        <f t="shared" si="5"/>
        <v>1</v>
      </c>
      <c r="G46">
        <f t="shared" si="1"/>
        <v>2.0813587476880651</v>
      </c>
      <c r="H46">
        <f t="shared" si="2"/>
        <v>-2.0167961600346476</v>
      </c>
      <c r="J46">
        <f t="shared" si="3"/>
        <v>7.0813587476880651</v>
      </c>
      <c r="K46">
        <f t="shared" si="4"/>
        <v>-1.0167961600346476</v>
      </c>
    </row>
    <row r="47" spans="2:11" x14ac:dyDescent="0.25">
      <c r="B47">
        <v>6</v>
      </c>
      <c r="C47">
        <v>70.767284282278666</v>
      </c>
      <c r="E47">
        <f t="shared" si="5"/>
        <v>1</v>
      </c>
      <c r="G47">
        <f t="shared" si="1"/>
        <v>3.4218803880546718</v>
      </c>
      <c r="H47">
        <f t="shared" si="2"/>
        <v>-2.8788989920225809</v>
      </c>
      <c r="J47">
        <f t="shared" si="3"/>
        <v>9.4218803880546709</v>
      </c>
      <c r="K47">
        <f t="shared" si="4"/>
        <v>-1.8788989920225809</v>
      </c>
    </row>
    <row r="48" spans="2:11" x14ac:dyDescent="0.25">
      <c r="B48">
        <v>7</v>
      </c>
      <c r="C48">
        <v>59.42361082235081</v>
      </c>
      <c r="E48">
        <f t="shared" si="5"/>
        <v>1</v>
      </c>
      <c r="G48">
        <f t="shared" si="1"/>
        <v>3.1469306677343054</v>
      </c>
      <c r="H48">
        <f t="shared" si="2"/>
        <v>-2.998338611793085</v>
      </c>
      <c r="J48">
        <f t="shared" si="3"/>
        <v>10.146930667734306</v>
      </c>
      <c r="K48">
        <f t="shared" si="4"/>
        <v>-1.998338611793085</v>
      </c>
    </row>
    <row r="49" spans="2:11" x14ac:dyDescent="0.25">
      <c r="B49">
        <v>8</v>
      </c>
      <c r="C49">
        <v>99.276699167779284</v>
      </c>
      <c r="E49">
        <f t="shared" si="5"/>
        <v>1</v>
      </c>
      <c r="G49">
        <f t="shared" si="1"/>
        <v>3.9873992551567752</v>
      </c>
      <c r="H49">
        <f t="shared" si="2"/>
        <v>-3.6066656566626665</v>
      </c>
      <c r="J49">
        <f t="shared" si="3"/>
        <v>11.987399255156776</v>
      </c>
      <c r="K49">
        <f t="shared" si="4"/>
        <v>-2.6066656566626665</v>
      </c>
    </row>
    <row r="50" spans="2:11" x14ac:dyDescent="0.25">
      <c r="B50">
        <v>9</v>
      </c>
      <c r="C50">
        <v>123.48455441420185</v>
      </c>
      <c r="E50">
        <f t="shared" si="5"/>
        <v>1</v>
      </c>
      <c r="G50">
        <f t="shared" si="1"/>
        <v>4.3748434314343436</v>
      </c>
      <c r="H50">
        <f t="shared" si="2"/>
        <v>-3.9918113867419631</v>
      </c>
      <c r="J50">
        <f t="shared" si="3"/>
        <v>13.374843431434343</v>
      </c>
      <c r="K50">
        <f t="shared" si="4"/>
        <v>-2.9918113867419631</v>
      </c>
    </row>
    <row r="51" spans="2:11" x14ac:dyDescent="0.25">
      <c r="B51">
        <v>10</v>
      </c>
      <c r="C51">
        <v>179.59524734515281</v>
      </c>
      <c r="E51">
        <f t="shared" si="5"/>
        <v>1</v>
      </c>
      <c r="G51">
        <f t="shared" si="1"/>
        <v>5.0818452242351393</v>
      </c>
      <c r="H51">
        <f t="shared" si="2"/>
        <v>-4.5085896793720934</v>
      </c>
      <c r="J51">
        <f t="shared" si="3"/>
        <v>15.081845224235138</v>
      </c>
      <c r="K51">
        <f t="shared" si="4"/>
        <v>-3.5085896793720934</v>
      </c>
    </row>
    <row r="52" spans="2:11" x14ac:dyDescent="0.25">
      <c r="B52">
        <v>11</v>
      </c>
      <c r="C52">
        <v>150.07760626222006</v>
      </c>
      <c r="E52">
        <f t="shared" si="5"/>
        <v>1</v>
      </c>
      <c r="G52">
        <f t="shared" si="1"/>
        <v>4.736350870883383</v>
      </c>
      <c r="H52">
        <f t="shared" si="2"/>
        <v>-4.5327989054048166</v>
      </c>
      <c r="J52">
        <f t="shared" si="3"/>
        <v>15.736350870883383</v>
      </c>
      <c r="K52">
        <f t="shared" si="4"/>
        <v>-3.5327989054048166</v>
      </c>
    </row>
    <row r="53" spans="2:11" x14ac:dyDescent="0.25">
      <c r="B53">
        <v>12</v>
      </c>
      <c r="C53">
        <v>270.42009693741551</v>
      </c>
      <c r="E53">
        <f t="shared" si="5"/>
        <v>1</v>
      </c>
      <c r="G53">
        <f t="shared" si="1"/>
        <v>5.9148135230760417</v>
      </c>
      <c r="H53">
        <f t="shared" si="2"/>
        <v>-5.2492216795054754</v>
      </c>
      <c r="J53">
        <f t="shared" si="3"/>
        <v>17.914813523076042</v>
      </c>
      <c r="K53">
        <f t="shared" si="4"/>
        <v>-4.2492216795054754</v>
      </c>
    </row>
    <row r="54" spans="2:11" x14ac:dyDescent="0.25">
      <c r="B54">
        <v>13</v>
      </c>
      <c r="C54">
        <v>337.14023628264891</v>
      </c>
      <c r="E54">
        <f t="shared" si="5"/>
        <v>1</v>
      </c>
      <c r="G54">
        <f t="shared" si="1"/>
        <v>6.3898263629972654</v>
      </c>
      <c r="H54">
        <f t="shared" si="2"/>
        <v>-5.6316755982275888</v>
      </c>
      <c r="J54">
        <f t="shared" si="3"/>
        <v>19.389826362997265</v>
      </c>
      <c r="K54">
        <f t="shared" si="4"/>
        <v>-4.6316755982275888</v>
      </c>
    </row>
    <row r="55" spans="2:11" x14ac:dyDescent="0.25">
      <c r="B55">
        <v>14</v>
      </c>
      <c r="C55">
        <v>380.9052823603871</v>
      </c>
      <c r="E55">
        <f t="shared" si="5"/>
        <v>1</v>
      </c>
      <c r="G55">
        <f t="shared" si="1"/>
        <v>6.6606163640538352</v>
      </c>
      <c r="H55">
        <f t="shared" si="2"/>
        <v>-5.9158934269025654</v>
      </c>
      <c r="J55">
        <f t="shared" si="3"/>
        <v>20.660616364053837</v>
      </c>
      <c r="K55">
        <f t="shared" si="4"/>
        <v>-4.9158934269025654</v>
      </c>
    </row>
    <row r="56" spans="2:11" x14ac:dyDescent="0.25">
      <c r="B56">
        <v>15</v>
      </c>
      <c r="C56">
        <v>250.4784588003277</v>
      </c>
      <c r="E56">
        <f t="shared" si="5"/>
        <v>1</v>
      </c>
      <c r="G56">
        <f t="shared" si="1"/>
        <v>5.75409934744693</v>
      </c>
      <c r="H56">
        <f t="shared" si="2"/>
        <v>-5.6423457584286476</v>
      </c>
      <c r="J56">
        <f t="shared" si="3"/>
        <v>20.754099347446932</v>
      </c>
      <c r="K56">
        <f t="shared" si="4"/>
        <v>-4.6423457584286476</v>
      </c>
    </row>
    <row r="57" spans="2:11" x14ac:dyDescent="0.25">
      <c r="B57">
        <v>16</v>
      </c>
      <c r="C57">
        <v>485.33332046909061</v>
      </c>
      <c r="E57">
        <f t="shared" si="5"/>
        <v>1</v>
      </c>
      <c r="G57">
        <f t="shared" si="1"/>
        <v>7.2148114657919464</v>
      </c>
      <c r="H57">
        <f t="shared" si="2"/>
        <v>-6.46862913831258</v>
      </c>
      <c r="J57">
        <f t="shared" si="3"/>
        <v>23.214811465791946</v>
      </c>
      <c r="K57">
        <f t="shared" si="4"/>
        <v>-5.46862913831258</v>
      </c>
    </row>
    <row r="58" spans="2:11" x14ac:dyDescent="0.25">
      <c r="B58">
        <v>17</v>
      </c>
      <c r="C58">
        <v>307.74957613069904</v>
      </c>
      <c r="E58">
        <f t="shared" si="5"/>
        <v>1</v>
      </c>
      <c r="G58">
        <f t="shared" si="1"/>
        <v>6.191126617078095</v>
      </c>
      <c r="H58">
        <f t="shared" si="2"/>
        <v>-6.1231997701361838</v>
      </c>
      <c r="J58">
        <f t="shared" si="3"/>
        <v>23.191126617078094</v>
      </c>
      <c r="K58">
        <f t="shared" si="4"/>
        <v>-5.1231997701361838</v>
      </c>
    </row>
    <row r="59" spans="2:11" x14ac:dyDescent="0.25">
      <c r="B59">
        <v>18</v>
      </c>
      <c r="C59">
        <v>438.79101320622487</v>
      </c>
      <c r="E59">
        <f t="shared" si="5"/>
        <v>1</v>
      </c>
      <c r="G59">
        <f t="shared" si="1"/>
        <v>6.9815258815837478</v>
      </c>
      <c r="H59">
        <f t="shared" si="2"/>
        <v>-6.6335069454025879</v>
      </c>
      <c r="J59">
        <f t="shared" si="3"/>
        <v>24.98152588158375</v>
      </c>
      <c r="K59">
        <f t="shared" si="4"/>
        <v>-5.6335069454025879</v>
      </c>
    </row>
    <row r="60" spans="2:11" x14ac:dyDescent="0.25">
      <c r="B60">
        <v>19</v>
      </c>
      <c r="C60">
        <v>438.9687441904432</v>
      </c>
      <c r="E60">
        <f t="shared" si="5"/>
        <v>1</v>
      </c>
      <c r="G60">
        <f t="shared" si="1"/>
        <v>6.9824553217102761</v>
      </c>
      <c r="H60">
        <f t="shared" si="2"/>
        <v>-6.7580429583479376</v>
      </c>
      <c r="J60">
        <f t="shared" si="3"/>
        <v>25.982455321710276</v>
      </c>
      <c r="K60">
        <f t="shared" si="4"/>
        <v>-5.7580429583479376</v>
      </c>
    </row>
    <row r="61" spans="2:11" x14ac:dyDescent="0.25">
      <c r="B61">
        <v>20</v>
      </c>
      <c r="C61">
        <v>551.60457418857743</v>
      </c>
      <c r="E61">
        <f t="shared" si="5"/>
        <v>1</v>
      </c>
      <c r="G61">
        <f t="shared" si="1"/>
        <v>7.5165233167610586</v>
      </c>
      <c r="H61">
        <f t="shared" si="2"/>
        <v>-7.1338801627844237</v>
      </c>
      <c r="J61">
        <f t="shared" si="3"/>
        <v>27.516523316761059</v>
      </c>
      <c r="K61">
        <f t="shared" si="4"/>
        <v>-6.1338801627844237</v>
      </c>
    </row>
    <row r="62" spans="2:11" x14ac:dyDescent="0.25">
      <c r="B62">
        <v>21</v>
      </c>
      <c r="C62">
        <v>535.74736732322185</v>
      </c>
      <c r="E62">
        <f t="shared" si="5"/>
        <v>1</v>
      </c>
      <c r="G62">
        <f t="shared" si="1"/>
        <v>7.4472229303965705</v>
      </c>
      <c r="H62">
        <f t="shared" si="2"/>
        <v>-7.2165672536595711</v>
      </c>
      <c r="J62">
        <f t="shared" si="3"/>
        <v>28.44722293039657</v>
      </c>
      <c r="K62">
        <f t="shared" si="4"/>
        <v>-6.2165672536595711</v>
      </c>
    </row>
    <row r="63" spans="2:11" x14ac:dyDescent="0.25">
      <c r="B63">
        <v>22</v>
      </c>
      <c r="C63">
        <v>490.93923388255433</v>
      </c>
      <c r="E63">
        <f t="shared" si="5"/>
        <v>1</v>
      </c>
      <c r="G63">
        <f t="shared" si="1"/>
        <v>7.2416303004059479</v>
      </c>
      <c r="H63">
        <f t="shared" si="2"/>
        <v>-7.2249933472702699</v>
      </c>
      <c r="J63">
        <f t="shared" si="3"/>
        <v>29.241630300405948</v>
      </c>
      <c r="K63">
        <f t="shared" si="4"/>
        <v>-6.2249933472702699</v>
      </c>
    </row>
    <row r="64" spans="2:11" x14ac:dyDescent="0.25">
      <c r="B64">
        <v>23</v>
      </c>
      <c r="C64">
        <v>940.79282743007252</v>
      </c>
      <c r="E64">
        <f t="shared" si="5"/>
        <v>1</v>
      </c>
      <c r="G64">
        <f t="shared" si="1"/>
        <v>8.8416665543550845</v>
      </c>
      <c r="H64">
        <f t="shared" si="2"/>
        <v>-8.0981790937973432</v>
      </c>
      <c r="J64">
        <f t="shared" si="3"/>
        <v>31.841666554355086</v>
      </c>
      <c r="K64">
        <f t="shared" si="4"/>
        <v>-7.0981790937973432</v>
      </c>
    </row>
    <row r="65" spans="2:11" x14ac:dyDescent="0.25">
      <c r="B65">
        <v>24</v>
      </c>
      <c r="C65">
        <v>847.97566512206549</v>
      </c>
      <c r="E65">
        <f t="shared" si="5"/>
        <v>1</v>
      </c>
      <c r="G65">
        <f t="shared" si="1"/>
        <v>8.5754292742615803</v>
      </c>
      <c r="H65">
        <f t="shared" si="2"/>
        <v>-8.0835753476868817</v>
      </c>
      <c r="J65">
        <f t="shared" si="3"/>
        <v>32.57542927426158</v>
      </c>
      <c r="K65">
        <f t="shared" si="4"/>
        <v>-7.0835753476868817</v>
      </c>
    </row>
    <row r="66" spans="2:11" x14ac:dyDescent="0.25">
      <c r="B66">
        <v>25</v>
      </c>
      <c r="C66">
        <v>632.75076535603353</v>
      </c>
      <c r="E66">
        <f t="shared" si="5"/>
        <v>1</v>
      </c>
      <c r="G66">
        <f t="shared" si="1"/>
        <v>7.8469045226817125</v>
      </c>
      <c r="H66">
        <f t="shared" si="2"/>
        <v>-7.8319104715386594</v>
      </c>
      <c r="J66">
        <f t="shared" si="3"/>
        <v>32.846904522681712</v>
      </c>
      <c r="K66">
        <f t="shared" si="4"/>
        <v>-6.8319104715386594</v>
      </c>
    </row>
    <row r="67" spans="2:11" x14ac:dyDescent="0.25">
      <c r="B67">
        <v>26</v>
      </c>
      <c r="C67">
        <v>1069.9753905411403</v>
      </c>
      <c r="E67">
        <f t="shared" si="5"/>
        <v>1</v>
      </c>
      <c r="G67">
        <f t="shared" si="1"/>
        <v>9.1771055535825958</v>
      </c>
      <c r="H67">
        <f t="shared" si="2"/>
        <v>-8.5729663450005642</v>
      </c>
      <c r="J67">
        <f t="shared" si="3"/>
        <v>35.177105553582592</v>
      </c>
      <c r="K67">
        <f t="shared" si="4"/>
        <v>-7.5729663450005642</v>
      </c>
    </row>
    <row r="68" spans="2:11" x14ac:dyDescent="0.25">
      <c r="B68">
        <v>27</v>
      </c>
      <c r="C68">
        <v>1315.4975918572254</v>
      </c>
      <c r="E68">
        <f t="shared" si="5"/>
        <v>1</v>
      </c>
      <c r="G68">
        <f t="shared" si="1"/>
        <v>9.7287227862047256</v>
      </c>
      <c r="H68">
        <f t="shared" si="2"/>
        <v>-8.929104970637102</v>
      </c>
      <c r="J68">
        <f t="shared" si="3"/>
        <v>36.728722786204727</v>
      </c>
      <c r="K68">
        <f t="shared" si="4"/>
        <v>-7.929104970637102</v>
      </c>
    </row>
    <row r="69" spans="2:11" x14ac:dyDescent="0.25">
      <c r="B69">
        <v>28</v>
      </c>
      <c r="C69">
        <v>1177.1238587732796</v>
      </c>
      <c r="E69">
        <f t="shared" si="5"/>
        <v>1</v>
      </c>
      <c r="G69">
        <f t="shared" si="1"/>
        <v>9.4299487529492474</v>
      </c>
      <c r="H69">
        <f t="shared" si="2"/>
        <v>-8.8879299102167586</v>
      </c>
      <c r="J69">
        <f t="shared" si="3"/>
        <v>37.429948752949244</v>
      </c>
      <c r="K69">
        <f t="shared" si="4"/>
        <v>-7.8879299102167586</v>
      </c>
    </row>
    <row r="70" spans="2:11" x14ac:dyDescent="0.25">
      <c r="B70">
        <v>29</v>
      </c>
      <c r="C70">
        <v>1676.7136354553536</v>
      </c>
      <c r="E70">
        <f t="shared" si="5"/>
        <v>1</v>
      </c>
      <c r="G70">
        <f t="shared" si="1"/>
        <v>10.3971351729058</v>
      </c>
      <c r="H70">
        <f t="shared" si="2"/>
        <v>-9.4308844680494968</v>
      </c>
      <c r="J70">
        <f t="shared" si="3"/>
        <v>39.397135172905799</v>
      </c>
      <c r="K70">
        <f t="shared" si="4"/>
        <v>-8.4308844680494968</v>
      </c>
    </row>
    <row r="71" spans="2:11" x14ac:dyDescent="0.25">
      <c r="B71">
        <v>30</v>
      </c>
      <c r="C71">
        <v>1722.2537880500777</v>
      </c>
      <c r="E71">
        <f t="shared" si="5"/>
        <v>1</v>
      </c>
      <c r="G71">
        <f t="shared" si="1"/>
        <v>10.472324755462246</v>
      </c>
      <c r="H71">
        <f t="shared" si="2"/>
        <v>-9.5602157611996859</v>
      </c>
      <c r="J71">
        <f t="shared" si="3"/>
        <v>40.472324755462246</v>
      </c>
      <c r="K71">
        <f t="shared" si="4"/>
        <v>-8.5602157611996859</v>
      </c>
    </row>
    <row r="72" spans="2:11" x14ac:dyDescent="0.25">
      <c r="B72">
        <v>31</v>
      </c>
      <c r="C72">
        <v>980.37017731604021</v>
      </c>
      <c r="E72">
        <f t="shared" si="5"/>
        <v>1</v>
      </c>
      <c r="G72">
        <f t="shared" ref="G72:G111" si="6">LOG(C72/E72)^2</f>
        <v>8.9484146802493321</v>
      </c>
      <c r="H72">
        <f t="shared" ref="H72:H111" si="7">-2*LOG(B72)*LOG(C72*B72^-$E$6)</f>
        <v>-8.9224891879184263</v>
      </c>
      <c r="J72">
        <f t="shared" ref="J72:J111" si="8">LOG(C72/E72)^2+B72</f>
        <v>39.948414680249329</v>
      </c>
      <c r="K72">
        <f t="shared" ref="K72:K111" si="9">1-2*LOG(B72)*LOG(C72*B72^-$E$6)</f>
        <v>-7.9224891879184263</v>
      </c>
    </row>
    <row r="73" spans="2:11" x14ac:dyDescent="0.25">
      <c r="B73">
        <v>32</v>
      </c>
      <c r="C73">
        <v>1087.3999512319501</v>
      </c>
      <c r="E73">
        <f t="shared" si="5"/>
        <v>1</v>
      </c>
      <c r="G73">
        <f t="shared" si="6"/>
        <v>9.2196600369531154</v>
      </c>
      <c r="H73">
        <f t="shared" si="7"/>
        <v>-9.1404426057911845</v>
      </c>
      <c r="J73">
        <f t="shared" si="8"/>
        <v>41.219660036953115</v>
      </c>
      <c r="K73">
        <f t="shared" si="9"/>
        <v>-8.1404426057911845</v>
      </c>
    </row>
    <row r="74" spans="2:11" x14ac:dyDescent="0.25">
      <c r="B74">
        <v>33</v>
      </c>
      <c r="C74">
        <v>1501.241853396454</v>
      </c>
      <c r="E74">
        <f t="shared" si="5"/>
        <v>1</v>
      </c>
      <c r="G74">
        <f t="shared" si="6"/>
        <v>10.089838818826083</v>
      </c>
      <c r="H74">
        <f t="shared" si="7"/>
        <v>-9.6469692242806566</v>
      </c>
      <c r="J74">
        <f t="shared" si="8"/>
        <v>43.089838818826081</v>
      </c>
      <c r="K74">
        <f t="shared" si="9"/>
        <v>-8.6469692242806566</v>
      </c>
    </row>
    <row r="75" spans="2:11" x14ac:dyDescent="0.25">
      <c r="B75">
        <v>34</v>
      </c>
      <c r="C75">
        <v>1383.0313503929806</v>
      </c>
      <c r="E75">
        <f t="shared" si="5"/>
        <v>1</v>
      </c>
      <c r="G75">
        <f t="shared" si="6"/>
        <v>9.8648258077419104</v>
      </c>
      <c r="H75">
        <f t="shared" si="7"/>
        <v>-9.6202360557743098</v>
      </c>
      <c r="J75">
        <f t="shared" si="8"/>
        <v>43.864825807741909</v>
      </c>
      <c r="K75">
        <f t="shared" si="9"/>
        <v>-8.6202360557743098</v>
      </c>
    </row>
    <row r="76" spans="2:11" x14ac:dyDescent="0.25">
      <c r="B76">
        <v>35</v>
      </c>
      <c r="C76">
        <v>1676.8793707556958</v>
      </c>
      <c r="E76">
        <f t="shared" si="5"/>
        <v>1</v>
      </c>
      <c r="G76">
        <f t="shared" si="6"/>
        <v>10.397412000069631</v>
      </c>
      <c r="H76">
        <f t="shared" si="7"/>
        <v>-9.957700444593284</v>
      </c>
      <c r="J76">
        <f t="shared" si="8"/>
        <v>45.397412000069629</v>
      </c>
      <c r="K76">
        <f t="shared" si="9"/>
        <v>-8.957700444593284</v>
      </c>
    </row>
    <row r="77" spans="2:11" x14ac:dyDescent="0.25">
      <c r="B77">
        <v>1</v>
      </c>
      <c r="C77">
        <v>1.6977320646150877</v>
      </c>
      <c r="E77">
        <f t="shared" si="5"/>
        <v>1</v>
      </c>
      <c r="G77">
        <f t="shared" si="6"/>
        <v>5.2839826644495068E-2</v>
      </c>
      <c r="H77">
        <f t="shared" si="7"/>
        <v>0</v>
      </c>
      <c r="J77">
        <f t="shared" si="8"/>
        <v>1.0528398266444952</v>
      </c>
      <c r="K77">
        <f t="shared" si="9"/>
        <v>1</v>
      </c>
    </row>
    <row r="78" spans="2:11" x14ac:dyDescent="0.25">
      <c r="B78">
        <v>2</v>
      </c>
      <c r="C78">
        <v>7.0901144168447381</v>
      </c>
      <c r="E78">
        <f t="shared" si="5"/>
        <v>1</v>
      </c>
      <c r="G78">
        <f t="shared" si="6"/>
        <v>0.72361094097373224</v>
      </c>
      <c r="H78">
        <f t="shared" si="7"/>
        <v>-0.51214428450969607</v>
      </c>
      <c r="J78">
        <f t="shared" si="8"/>
        <v>2.7236109409737321</v>
      </c>
      <c r="K78">
        <f t="shared" si="9"/>
        <v>0.48785571549030393</v>
      </c>
    </row>
    <row r="79" spans="2:11" x14ac:dyDescent="0.25">
      <c r="B79">
        <v>3</v>
      </c>
      <c r="C79">
        <v>15.600436201800331</v>
      </c>
      <c r="E79">
        <f t="shared" si="5"/>
        <v>1</v>
      </c>
      <c r="G79">
        <f t="shared" si="6"/>
        <v>1.4235752845774403</v>
      </c>
      <c r="H79">
        <f t="shared" si="7"/>
        <v>-1.1385417985772261</v>
      </c>
      <c r="J79">
        <f t="shared" si="8"/>
        <v>4.4235752845774403</v>
      </c>
      <c r="K79">
        <f t="shared" si="9"/>
        <v>-0.13854179857722615</v>
      </c>
    </row>
    <row r="80" spans="2:11" x14ac:dyDescent="0.25">
      <c r="B80">
        <v>4</v>
      </c>
      <c r="C80">
        <v>20.851670511443093</v>
      </c>
      <c r="E80">
        <f t="shared" si="5"/>
        <v>1</v>
      </c>
      <c r="G80">
        <f t="shared" si="6"/>
        <v>1.7401325921285895</v>
      </c>
      <c r="H80">
        <f t="shared" si="7"/>
        <v>-1.5884038619821284</v>
      </c>
      <c r="J80">
        <f t="shared" si="8"/>
        <v>5.7401325921285897</v>
      </c>
      <c r="K80">
        <f t="shared" si="9"/>
        <v>-0.58840386198212835</v>
      </c>
    </row>
    <row r="81" spans="2:11" x14ac:dyDescent="0.25">
      <c r="B81">
        <v>5</v>
      </c>
      <c r="C81">
        <v>41.455269520775914</v>
      </c>
      <c r="E81">
        <f t="shared" si="5"/>
        <v>1</v>
      </c>
      <c r="G81">
        <f t="shared" si="6"/>
        <v>2.6165642251219867</v>
      </c>
      <c r="H81">
        <f t="shared" si="7"/>
        <v>-2.2612794400254232</v>
      </c>
      <c r="J81">
        <f t="shared" si="8"/>
        <v>7.6165642251219872</v>
      </c>
      <c r="K81">
        <f t="shared" si="9"/>
        <v>-1.2612794400254232</v>
      </c>
    </row>
    <row r="82" spans="2:11" x14ac:dyDescent="0.25">
      <c r="B82">
        <v>6</v>
      </c>
      <c r="C82">
        <v>71.602683091074255</v>
      </c>
      <c r="E82">
        <f t="shared" si="5"/>
        <v>1</v>
      </c>
      <c r="G82">
        <f t="shared" si="6"/>
        <v>3.4407626948926406</v>
      </c>
      <c r="H82">
        <f t="shared" si="7"/>
        <v>-2.8868311028385505</v>
      </c>
      <c r="J82">
        <f t="shared" si="8"/>
        <v>9.4407626948926406</v>
      </c>
      <c r="K82">
        <f t="shared" si="9"/>
        <v>-1.8868311028385505</v>
      </c>
    </row>
    <row r="83" spans="2:11" x14ac:dyDescent="0.25">
      <c r="B83">
        <v>7</v>
      </c>
      <c r="C83">
        <v>58.595690724644548</v>
      </c>
      <c r="E83">
        <f t="shared" si="5"/>
        <v>1</v>
      </c>
      <c r="G83">
        <f t="shared" si="6"/>
        <v>3.1253490557241297</v>
      </c>
      <c r="H83">
        <f t="shared" si="7"/>
        <v>-2.9880396391034023</v>
      </c>
      <c r="J83">
        <f t="shared" si="8"/>
        <v>10.125349055724129</v>
      </c>
      <c r="K83">
        <f t="shared" si="9"/>
        <v>-1.9880396391034023</v>
      </c>
    </row>
    <row r="84" spans="2:11" x14ac:dyDescent="0.25">
      <c r="B84">
        <v>8</v>
      </c>
      <c r="C84">
        <v>71.198721100426951</v>
      </c>
      <c r="E84">
        <f t="shared" si="5"/>
        <v>1</v>
      </c>
      <c r="G84">
        <f t="shared" si="6"/>
        <v>3.4316532248666385</v>
      </c>
      <c r="H84">
        <f t="shared" si="7"/>
        <v>-3.3458981768849587</v>
      </c>
      <c r="J84">
        <f t="shared" si="8"/>
        <v>11.431653224866638</v>
      </c>
      <c r="K84">
        <f t="shared" si="9"/>
        <v>-2.3458981768849587</v>
      </c>
    </row>
    <row r="85" spans="2:11" x14ac:dyDescent="0.25">
      <c r="B85">
        <v>9</v>
      </c>
      <c r="C85">
        <v>158.95902597827188</v>
      </c>
      <c r="E85">
        <f t="shared" si="5"/>
        <v>1</v>
      </c>
      <c r="G85">
        <f t="shared" si="6"/>
        <v>4.8456565007874914</v>
      </c>
      <c r="H85">
        <f t="shared" si="7"/>
        <v>-4.201119813062002</v>
      </c>
      <c r="J85">
        <f t="shared" si="8"/>
        <v>13.845656500787491</v>
      </c>
      <c r="K85">
        <f t="shared" si="9"/>
        <v>-3.201119813062002</v>
      </c>
    </row>
    <row r="86" spans="2:11" x14ac:dyDescent="0.25">
      <c r="B86">
        <v>10</v>
      </c>
      <c r="C86">
        <v>193.59184082043197</v>
      </c>
      <c r="E86">
        <f t="shared" si="5"/>
        <v>1</v>
      </c>
      <c r="G86">
        <f t="shared" si="6"/>
        <v>5.2298523769562344</v>
      </c>
      <c r="H86">
        <f t="shared" si="7"/>
        <v>-4.5737740989061688</v>
      </c>
      <c r="J86">
        <f t="shared" si="8"/>
        <v>15.229852376956234</v>
      </c>
      <c r="K86">
        <f t="shared" si="9"/>
        <v>-3.5737740989061688</v>
      </c>
    </row>
    <row r="87" spans="2:11" x14ac:dyDescent="0.25">
      <c r="B87">
        <v>11</v>
      </c>
      <c r="C87">
        <v>154.96175478243669</v>
      </c>
      <c r="E87">
        <f t="shared" si="5"/>
        <v>1</v>
      </c>
      <c r="G87">
        <f t="shared" si="6"/>
        <v>4.7970834728773584</v>
      </c>
      <c r="H87">
        <f t="shared" si="7"/>
        <v>-4.5617675997884932</v>
      </c>
      <c r="J87">
        <f t="shared" si="8"/>
        <v>15.797083472877357</v>
      </c>
      <c r="K87">
        <f t="shared" si="9"/>
        <v>-3.5617675997884932</v>
      </c>
    </row>
    <row r="88" spans="2:11" x14ac:dyDescent="0.25">
      <c r="B88">
        <v>12</v>
      </c>
      <c r="C88">
        <v>194.44407268383173</v>
      </c>
      <c r="E88">
        <f t="shared" si="5"/>
        <v>1</v>
      </c>
      <c r="G88">
        <f t="shared" si="6"/>
        <v>5.238581219550273</v>
      </c>
      <c r="H88">
        <f t="shared" si="7"/>
        <v>-4.9400486518248883</v>
      </c>
      <c r="J88">
        <f t="shared" si="8"/>
        <v>17.238581219550273</v>
      </c>
      <c r="K88">
        <f t="shared" si="9"/>
        <v>-3.9400486518248883</v>
      </c>
    </row>
    <row r="89" spans="2:11" x14ac:dyDescent="0.25">
      <c r="B89">
        <v>13</v>
      </c>
      <c r="C89">
        <v>279.84415425009371</v>
      </c>
      <c r="E89">
        <f t="shared" si="5"/>
        <v>1</v>
      </c>
      <c r="G89">
        <f t="shared" si="6"/>
        <v>5.9873990817956706</v>
      </c>
      <c r="H89">
        <f t="shared" si="7"/>
        <v>-5.4514521566784291</v>
      </c>
      <c r="J89">
        <f t="shared" si="8"/>
        <v>18.987399081795672</v>
      </c>
      <c r="K89">
        <f t="shared" si="9"/>
        <v>-4.4514521566784291</v>
      </c>
    </row>
    <row r="90" spans="2:11" x14ac:dyDescent="0.25">
      <c r="B90">
        <v>14</v>
      </c>
      <c r="C90">
        <v>286.43151214772507</v>
      </c>
      <c r="E90">
        <f t="shared" si="5"/>
        <v>1</v>
      </c>
      <c r="G90">
        <f t="shared" si="6"/>
        <v>6.0369511907741007</v>
      </c>
      <c r="H90">
        <f t="shared" si="7"/>
        <v>-5.6321208365192499</v>
      </c>
      <c r="J90">
        <f t="shared" si="8"/>
        <v>20.036951190774101</v>
      </c>
      <c r="K90">
        <f t="shared" si="9"/>
        <v>-4.6321208365192499</v>
      </c>
    </row>
    <row r="91" spans="2:11" x14ac:dyDescent="0.25">
      <c r="B91">
        <v>15</v>
      </c>
      <c r="C91">
        <v>322.30092119391674</v>
      </c>
      <c r="E91">
        <f t="shared" si="5"/>
        <v>1</v>
      </c>
      <c r="G91">
        <f t="shared" si="6"/>
        <v>6.2913759871843009</v>
      </c>
      <c r="H91">
        <f t="shared" si="7"/>
        <v>-5.8998889612474166</v>
      </c>
      <c r="J91">
        <f t="shared" si="8"/>
        <v>21.291375987184303</v>
      </c>
      <c r="K91">
        <f t="shared" si="9"/>
        <v>-4.8998889612474166</v>
      </c>
    </row>
    <row r="92" spans="2:11" x14ac:dyDescent="0.25">
      <c r="B92">
        <v>16</v>
      </c>
      <c r="C92">
        <v>420.9713535778568</v>
      </c>
      <c r="E92">
        <f t="shared" si="5"/>
        <v>1</v>
      </c>
      <c r="G92">
        <f t="shared" si="6"/>
        <v>6.8867014136491056</v>
      </c>
      <c r="H92">
        <f t="shared" si="7"/>
        <v>-6.3198298550542695</v>
      </c>
      <c r="J92">
        <f t="shared" si="8"/>
        <v>22.886701413649106</v>
      </c>
      <c r="K92">
        <f t="shared" si="9"/>
        <v>-5.3198298550542695</v>
      </c>
    </row>
    <row r="93" spans="2:11" x14ac:dyDescent="0.25">
      <c r="B93">
        <v>17</v>
      </c>
      <c r="C93">
        <v>473.70143963907844</v>
      </c>
      <c r="E93">
        <f t="shared" si="5"/>
        <v>1</v>
      </c>
      <c r="G93">
        <f t="shared" si="6"/>
        <v>7.1583254243702905</v>
      </c>
      <c r="H93">
        <f t="shared" si="7"/>
        <v>-6.5841437558505671</v>
      </c>
      <c r="J93">
        <f t="shared" si="8"/>
        <v>24.15832542437029</v>
      </c>
      <c r="K93">
        <f t="shared" si="9"/>
        <v>-5.5841437558505671</v>
      </c>
    </row>
    <row r="94" spans="2:11" x14ac:dyDescent="0.25">
      <c r="B94">
        <v>18</v>
      </c>
      <c r="C94">
        <v>523.40818179948997</v>
      </c>
      <c r="E94">
        <f t="shared" si="5"/>
        <v>1</v>
      </c>
      <c r="G94">
        <f t="shared" si="6"/>
        <v>7.3920937033251723</v>
      </c>
      <c r="H94">
        <f t="shared" si="7"/>
        <v>-6.8257714687755877</v>
      </c>
      <c r="J94">
        <f t="shared" si="8"/>
        <v>25.392093703325173</v>
      </c>
      <c r="K94">
        <f t="shared" si="9"/>
        <v>-5.8257714687755877</v>
      </c>
    </row>
    <row r="95" spans="2:11" x14ac:dyDescent="0.25">
      <c r="B95">
        <v>19</v>
      </c>
      <c r="C95">
        <v>612.61413549461588</v>
      </c>
      <c r="E95">
        <f t="shared" si="5"/>
        <v>1</v>
      </c>
      <c r="G95">
        <f t="shared" si="6"/>
        <v>7.768411448349041</v>
      </c>
      <c r="H95">
        <f t="shared" si="7"/>
        <v>-7.1282508601419767</v>
      </c>
      <c r="J95">
        <f t="shared" si="8"/>
        <v>26.768411448349042</v>
      </c>
      <c r="K95">
        <f t="shared" si="9"/>
        <v>-6.1282508601419767</v>
      </c>
    </row>
    <row r="96" spans="2:11" x14ac:dyDescent="0.25">
      <c r="B96">
        <v>20</v>
      </c>
      <c r="C96">
        <v>726.79702679485717</v>
      </c>
      <c r="E96">
        <f t="shared" si="5"/>
        <v>1</v>
      </c>
      <c r="G96">
        <f t="shared" si="6"/>
        <v>8.1876851692875903</v>
      </c>
      <c r="H96">
        <f t="shared" si="7"/>
        <v>-7.4455686554933749</v>
      </c>
      <c r="J96">
        <f t="shared" si="8"/>
        <v>28.18768516928759</v>
      </c>
      <c r="K96">
        <f t="shared" si="9"/>
        <v>-6.4455686554933749</v>
      </c>
    </row>
    <row r="97" spans="2:11" x14ac:dyDescent="0.25">
      <c r="B97">
        <v>21</v>
      </c>
      <c r="C97">
        <v>668.95499091395322</v>
      </c>
      <c r="E97">
        <f t="shared" si="5"/>
        <v>1</v>
      </c>
      <c r="G97">
        <f t="shared" si="6"/>
        <v>7.9828676326587873</v>
      </c>
      <c r="H97">
        <f t="shared" si="7"/>
        <v>-7.4715885883034909</v>
      </c>
      <c r="J97">
        <f t="shared" si="8"/>
        <v>28.982867632658788</v>
      </c>
      <c r="K97">
        <f t="shared" si="9"/>
        <v>-6.4715885883034909</v>
      </c>
    </row>
    <row r="98" spans="2:11" x14ac:dyDescent="0.25">
      <c r="B98">
        <v>22</v>
      </c>
      <c r="C98">
        <v>549.57706215423752</v>
      </c>
      <c r="E98">
        <f t="shared" si="5"/>
        <v>1</v>
      </c>
      <c r="G98">
        <f t="shared" si="6"/>
        <v>7.5077567187569683</v>
      </c>
      <c r="H98">
        <f t="shared" si="7"/>
        <v>-7.356553072553849</v>
      </c>
      <c r="J98">
        <f t="shared" si="8"/>
        <v>29.507756718756969</v>
      </c>
      <c r="K98">
        <f t="shared" si="9"/>
        <v>-6.356553072553849</v>
      </c>
    </row>
    <row r="99" spans="2:11" x14ac:dyDescent="0.25">
      <c r="B99">
        <v>23</v>
      </c>
      <c r="C99">
        <v>1039.3142196321498</v>
      </c>
      <c r="E99">
        <f t="shared" si="5"/>
        <v>1</v>
      </c>
      <c r="G99">
        <f t="shared" si="6"/>
        <v>9.1007616730287566</v>
      </c>
      <c r="H99">
        <f t="shared" si="7"/>
        <v>-8.2159763721077468</v>
      </c>
      <c r="J99">
        <f t="shared" si="8"/>
        <v>32.100761673028757</v>
      </c>
      <c r="K99">
        <f t="shared" si="9"/>
        <v>-7.2159763721077468</v>
      </c>
    </row>
    <row r="100" spans="2:11" x14ac:dyDescent="0.25">
      <c r="B100">
        <v>24</v>
      </c>
      <c r="C100">
        <v>578.47415784335124</v>
      </c>
      <c r="E100">
        <f t="shared" si="5"/>
        <v>1</v>
      </c>
      <c r="G100">
        <f t="shared" si="6"/>
        <v>7.6302126894752469</v>
      </c>
      <c r="H100">
        <f t="shared" si="7"/>
        <v>-7.6250707556796362</v>
      </c>
      <c r="J100">
        <f t="shared" si="8"/>
        <v>31.630212689475247</v>
      </c>
      <c r="K100">
        <f t="shared" si="9"/>
        <v>-6.6250707556796362</v>
      </c>
    </row>
    <row r="101" spans="2:11" x14ac:dyDescent="0.25">
      <c r="B101">
        <v>25</v>
      </c>
      <c r="C101">
        <v>782.0033280863704</v>
      </c>
      <c r="E101">
        <f t="shared" si="5"/>
        <v>1</v>
      </c>
      <c r="G101">
        <f t="shared" si="6"/>
        <v>8.3706560109520503</v>
      </c>
      <c r="H101">
        <f t="shared" si="7"/>
        <v>-8.0890641145352351</v>
      </c>
      <c r="J101">
        <f t="shared" si="8"/>
        <v>33.370656010952047</v>
      </c>
      <c r="K101">
        <f t="shared" si="9"/>
        <v>-7.0890641145352351</v>
      </c>
    </row>
    <row r="102" spans="2:11" x14ac:dyDescent="0.25">
      <c r="B102">
        <v>26</v>
      </c>
      <c r="C102">
        <v>1096.6263649428897</v>
      </c>
      <c r="E102">
        <f t="shared" si="5"/>
        <v>1</v>
      </c>
      <c r="G102">
        <f t="shared" si="6"/>
        <v>9.2419567956108413</v>
      </c>
      <c r="H102">
        <f t="shared" si="7"/>
        <v>-8.6032040252044446</v>
      </c>
      <c r="J102">
        <f t="shared" si="8"/>
        <v>35.241956795610839</v>
      </c>
      <c r="K102">
        <f t="shared" si="9"/>
        <v>-7.6032040252044446</v>
      </c>
    </row>
    <row r="103" spans="2:11" x14ac:dyDescent="0.25">
      <c r="B103">
        <v>27</v>
      </c>
      <c r="C103">
        <v>975.73415302597459</v>
      </c>
      <c r="E103">
        <f t="shared" si="5"/>
        <v>1</v>
      </c>
      <c r="G103">
        <f t="shared" si="6"/>
        <v>8.936102856352699</v>
      </c>
      <c r="H103">
        <f t="shared" si="7"/>
        <v>-8.5576415952126741</v>
      </c>
      <c r="J103">
        <f t="shared" si="8"/>
        <v>35.936102856352697</v>
      </c>
      <c r="K103">
        <f t="shared" si="9"/>
        <v>-7.5576415952126741</v>
      </c>
    </row>
    <row r="104" spans="2:11" x14ac:dyDescent="0.25">
      <c r="B104">
        <v>28</v>
      </c>
      <c r="C104">
        <v>1034.3270509944464</v>
      </c>
      <c r="E104">
        <f t="shared" si="5"/>
        <v>1</v>
      </c>
      <c r="G104">
        <f t="shared" si="6"/>
        <v>9.0881621517543074</v>
      </c>
      <c r="H104">
        <f t="shared" si="7"/>
        <v>-8.7253727343709002</v>
      </c>
      <c r="J104">
        <f t="shared" si="8"/>
        <v>37.088162151754304</v>
      </c>
      <c r="K104">
        <f t="shared" si="9"/>
        <v>-7.7253727343709002</v>
      </c>
    </row>
    <row r="105" spans="2:11" x14ac:dyDescent="0.25">
      <c r="B105">
        <v>29</v>
      </c>
      <c r="C105">
        <v>1345.4056160867328</v>
      </c>
      <c r="E105">
        <f t="shared" si="5"/>
        <v>1</v>
      </c>
      <c r="G105">
        <f t="shared" si="6"/>
        <v>9.7897225737613986</v>
      </c>
      <c r="H105">
        <f t="shared" si="7"/>
        <v>-9.1512574167155112</v>
      </c>
      <c r="J105">
        <f t="shared" si="8"/>
        <v>38.789722573761395</v>
      </c>
      <c r="K105">
        <f t="shared" si="9"/>
        <v>-8.1512574167155112</v>
      </c>
    </row>
    <row r="106" spans="2:11" x14ac:dyDescent="0.25">
      <c r="B106">
        <v>30</v>
      </c>
      <c r="C106">
        <v>1147.4499653279211</v>
      </c>
      <c r="E106">
        <f t="shared" ref="E106:E111" si="10">B106^$E$6</f>
        <v>1</v>
      </c>
      <c r="G106">
        <f t="shared" si="6"/>
        <v>9.3619706647488456</v>
      </c>
      <c r="H106">
        <f t="shared" si="7"/>
        <v>-9.0391955329900036</v>
      </c>
      <c r="J106">
        <f t="shared" si="8"/>
        <v>39.361970664748846</v>
      </c>
      <c r="K106">
        <f t="shared" si="9"/>
        <v>-8.0391955329900036</v>
      </c>
    </row>
    <row r="107" spans="2:11" x14ac:dyDescent="0.25">
      <c r="B107">
        <v>31</v>
      </c>
      <c r="C107">
        <v>1324.8480907587225</v>
      </c>
      <c r="E107">
        <f t="shared" si="10"/>
        <v>1</v>
      </c>
      <c r="G107">
        <f t="shared" si="6"/>
        <v>9.7479210574187629</v>
      </c>
      <c r="H107">
        <f t="shared" si="7"/>
        <v>-9.3125577995718505</v>
      </c>
      <c r="J107">
        <f t="shared" si="8"/>
        <v>40.747921057418765</v>
      </c>
      <c r="K107">
        <f t="shared" si="9"/>
        <v>-8.3125577995718505</v>
      </c>
    </row>
    <row r="108" spans="2:11" x14ac:dyDescent="0.25">
      <c r="B108">
        <v>32</v>
      </c>
      <c r="C108">
        <v>1185.6367355605507</v>
      </c>
      <c r="E108">
        <f t="shared" si="10"/>
        <v>1</v>
      </c>
      <c r="G108">
        <f t="shared" si="6"/>
        <v>9.4491787277726758</v>
      </c>
      <c r="H108">
        <f t="shared" si="7"/>
        <v>-9.2535165095196383</v>
      </c>
      <c r="J108">
        <f t="shared" si="8"/>
        <v>41.449178727772676</v>
      </c>
      <c r="K108">
        <f t="shared" si="9"/>
        <v>-8.2535165095196383</v>
      </c>
    </row>
    <row r="109" spans="2:11" x14ac:dyDescent="0.25">
      <c r="B109">
        <v>33</v>
      </c>
      <c r="C109">
        <v>1481.5610281605091</v>
      </c>
      <c r="E109">
        <f t="shared" si="10"/>
        <v>1</v>
      </c>
      <c r="G109">
        <f t="shared" si="6"/>
        <v>10.053462436561253</v>
      </c>
      <c r="H109">
        <f t="shared" si="7"/>
        <v>-9.6295636587355382</v>
      </c>
      <c r="J109">
        <f t="shared" si="8"/>
        <v>43.053462436561254</v>
      </c>
      <c r="K109">
        <f t="shared" si="9"/>
        <v>-8.6295636587355382</v>
      </c>
    </row>
    <row r="110" spans="2:11" x14ac:dyDescent="0.25">
      <c r="B110">
        <v>34</v>
      </c>
      <c r="C110">
        <v>1341.2191546635313</v>
      </c>
      <c r="E110">
        <f t="shared" si="10"/>
        <v>1</v>
      </c>
      <c r="G110">
        <f t="shared" si="6"/>
        <v>9.7812546686820969</v>
      </c>
      <c r="H110">
        <f t="shared" si="7"/>
        <v>-9.5793998517571382</v>
      </c>
      <c r="J110">
        <f t="shared" si="8"/>
        <v>43.781254668682095</v>
      </c>
      <c r="K110">
        <f t="shared" si="9"/>
        <v>-8.5793998517571382</v>
      </c>
    </row>
    <row r="111" spans="2:11" x14ac:dyDescent="0.25">
      <c r="B111">
        <v>35</v>
      </c>
      <c r="C111">
        <v>1872.1890693701257</v>
      </c>
      <c r="E111">
        <f t="shared" si="10"/>
        <v>1</v>
      </c>
      <c r="G111">
        <f t="shared" si="6"/>
        <v>10.708272593906143</v>
      </c>
      <c r="H111">
        <f t="shared" si="7"/>
        <v>-10.105461219846482</v>
      </c>
      <c r="J111">
        <f t="shared" si="8"/>
        <v>45.708272593906145</v>
      </c>
      <c r="K111">
        <f t="shared" si="9"/>
        <v>-9.1054612198464824</v>
      </c>
    </row>
  </sheetData>
  <mergeCells count="1">
    <mergeCell ref="Y4:AB3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rain">
                <anchor moveWithCells="1">
                  <from>
                    <xdr:col>1</xdr:col>
                    <xdr:colOff>9525</xdr:colOff>
                    <xdr:row>0</xdr:row>
                    <xdr:rowOff>66675</xdr:rowOff>
                  </from>
                  <to>
                    <xdr:col>2</xdr:col>
                    <xdr:colOff>257175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Черкашин Александр (Alexandr Cherkashin)</dc:creator>
  <cp:lastModifiedBy>Черкашин Александр (Alexandr Cherkashin)</cp:lastModifiedBy>
  <dcterms:created xsi:type="dcterms:W3CDTF">2018-12-24T10:02:04Z</dcterms:created>
  <dcterms:modified xsi:type="dcterms:W3CDTF">2018-12-27T14:14:37Z</dcterms:modified>
</cp:coreProperties>
</file>